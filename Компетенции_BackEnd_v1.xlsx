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Легенда" sheetId="1" state="visible" r:id="rId1"/>
    <sheet name="E1-&gt;E2" sheetId="2" state="visible" r:id="rId2"/>
    <sheet name="E2-&gt;E3" sheetId="3" state="visible" r:id="rId3"/>
    <sheet name="E3-&gt;E4" sheetId="4" state="visible" r:id="rId4"/>
    <sheet name="E4-&gt;E5" sheetId="5" state="visible" r:id="rId5"/>
    <sheet name="E5-&gt;E6" sheetId="6" state="visible" r:id="rId6"/>
    <sheet name="E6-&gt;E7" sheetId="7" state="visible" r:id="rId7"/>
    <sheet name="E7" sheetId="8" state="visible" r:id="rId8"/>
    <sheet name="E8" sheetId="9" state="visible" r:id="rId9"/>
  </sheets>
  <calcPr iterateDelta="0.0001"/>
</workbook>
</file>

<file path=xl/sharedStrings.xml><?xml version="1.0" encoding="utf-8"?>
<sst xmlns="http://schemas.openxmlformats.org/spreadsheetml/2006/main" count="209" uniqueCount="209">
  <si>
    <t xml:space="preserve">Код уровня</t>
  </si>
  <si>
    <t>Грейд</t>
  </si>
  <si>
    <t>Оценка</t>
  </si>
  <si>
    <t>Описание</t>
  </si>
  <si>
    <t>E1</t>
  </si>
  <si>
    <t>Intern</t>
  </si>
  <si>
    <t xml:space="preserve">Не соответствует</t>
  </si>
  <si>
    <t>E2</t>
  </si>
  <si>
    <t>Junior</t>
  </si>
  <si>
    <t xml:space="preserve">Частично соответствует</t>
  </si>
  <si>
    <t>E3</t>
  </si>
  <si>
    <t>Junior+</t>
  </si>
  <si>
    <t xml:space="preserve">Полностью соответствует</t>
  </si>
  <si>
    <t>E4</t>
  </si>
  <si>
    <t>Middle</t>
  </si>
  <si>
    <t>E5</t>
  </si>
  <si>
    <t>Middle+</t>
  </si>
  <si>
    <t xml:space="preserve">Правила проставления оценкок:
-- Оценки ставятся объективно, если человек практически соответсвует формулировке, но есть что-то из-за чего вы не можете уверенно поставить оценку 2, то ставим ценку 1. Не нужно дотягивать или округлять оценки.
-- Оставляйте комментарии к оценке если считаете нужным.
-- При возниконовении сложнойстей с оценкой какого-то раздела, выставляйте оценку 0, в поле "Комметерии" напишите, что не можете оценить, желательно кратко указать причину.</t>
  </si>
  <si>
    <t>E6</t>
  </si>
  <si>
    <t>Senior</t>
  </si>
  <si>
    <t>E7</t>
  </si>
  <si>
    <t>Senior+</t>
  </si>
  <si>
    <t>E8</t>
  </si>
  <si>
    <t>Lead</t>
  </si>
  <si>
    <t>Навык</t>
  </si>
  <si>
    <t>Самооценка</t>
  </si>
  <si>
    <t xml:space="preserve">Оценка от коллег №1</t>
  </si>
  <si>
    <t xml:space="preserve">Оценка от коллег №2</t>
  </si>
  <si>
    <t xml:space="preserve">Оценка 
Лида</t>
  </si>
  <si>
    <t xml:space="preserve">Оценка 
менеджера</t>
  </si>
  <si>
    <t>Примеры</t>
  </si>
  <si>
    <t>Экспертность</t>
  </si>
  <si>
    <t xml:space="preserve">Решает небольшие задачи из бэклога на 1–2 дня</t>
  </si>
  <si>
    <t xml:space="preserve">Выполняет полностью декомпозированные задачи с детализацией до кода, который нужно поправить.</t>
  </si>
  <si>
    <t xml:space="preserve">Работает под присмотром наставника.</t>
  </si>
  <si>
    <t xml:space="preserve">Не оценивает потенциальные риски сам, а привлекает для этого наставника. Говорит, если не успевает выполнить задачу. Работает только с не очень важной функциональностью.</t>
  </si>
  <si>
    <t xml:space="preserve">Решает задачи на 1–2 дня c подробным объяснением, что и как делать.</t>
  </si>
  <si>
    <t xml:space="preserve">Участвует в процессе Code Review, комментирует, спрашивает не понятное. Не принимает итоговых решений об апруве</t>
  </si>
  <si>
    <t xml:space="preserve">Декомпозирует задачи и пишет код в основном самостоятельно. Если нужно, привлекает наставника.</t>
  </si>
  <si>
    <t xml:space="preserve">Работает с важной функциональностью под присмотром наставника.</t>
  </si>
  <si>
    <t xml:space="preserve">Предупреждает, если не успевает в срок.</t>
  </si>
  <si>
    <t>Среднее</t>
  </si>
  <si>
    <t xml:space="preserve">Инженерная культура</t>
  </si>
  <si>
    <t xml:space="preserve">Изучает с наставником практики принтые в компании, учится писать качественный код и тестировать его</t>
  </si>
  <si>
    <t xml:space="preserve">Вручную проверяет «зелёные сценарии» работы своей программы и обработку ошибок</t>
  </si>
  <si>
    <t xml:space="preserve">При разработке применяет лучшие практики, например подходы KISS, DRY и другие.</t>
  </si>
  <si>
    <t xml:space="preserve">Совместно с наставником контролирует, как решение работает в проде, например смотрит логи. Если возникают аномалии, спрашивает мнение наставника.</t>
  </si>
  <si>
    <t xml:space="preserve">Обращается к наставнику, чтобы выбрать оптимальный способ проверки качества и безопасности задач.</t>
  </si>
  <si>
    <t>Сейчас</t>
  </si>
  <si>
    <t>Ожидания</t>
  </si>
  <si>
    <t xml:space="preserve">Ответственность за результат</t>
  </si>
  <si>
    <t xml:space="preserve">Синхронизирует план работы и конечную цель. Срок выполнения и ожидаемый результат обсуждает с командой и наставником.</t>
  </si>
  <si>
    <t xml:space="preserve">Выполняет обещанное. Например, делает задачу в срок или своевременно оповещает о проблеме, просит о помощи. Убеждается, что задача соответствует DoR команды, а при завершении — DoD команды.</t>
  </si>
  <si>
    <t xml:space="preserve">Признаёт ошибки и берёт ответственность за их исправление.</t>
  </si>
  <si>
    <t>Автономность</t>
  </si>
  <si>
    <t xml:space="preserve">[Аналогично E1]</t>
  </si>
  <si>
    <t>Коммуникация</t>
  </si>
  <si>
    <t xml:space="preserve">Agile Mindset</t>
  </si>
  <si>
    <t xml:space="preserve">Уважает коллег. Слышит и учитывает их мнение</t>
  </si>
  <si>
    <t xml:space="preserve">Ориентация на бизнес</t>
  </si>
  <si>
    <t xml:space="preserve">Аргументирует свою точку зрения.</t>
  </si>
  <si>
    <t xml:space="preserve">Обучения себя и других</t>
  </si>
  <si>
    <t xml:space="preserve">Принимает конструктивную обратную связь от коллег, адекватно реагирует на неё.</t>
  </si>
  <si>
    <t xml:space="preserve">Не доводит разногласия до деструктивных конфликтов. Старается разрешить конфликт спокойно, если он произошёл.</t>
  </si>
  <si>
    <t xml:space="preserve">Учитывает интересы и потребности других людей, даже когда они противоречат его собственным.</t>
  </si>
  <si>
    <t xml:space="preserve">Вовлекается во все процессы команды.</t>
  </si>
  <si>
    <t xml:space="preserve">Адаптируется к изменениям процессов и приоритетов/целей в команде/компании</t>
  </si>
  <si>
    <t xml:space="preserve">Своевременно говорит о том, что требует улучшения, и не замалчивает проблемы.
</t>
  </si>
  <si>
    <t xml:space="preserve">не проявляю</t>
  </si>
  <si>
    <t xml:space="preserve">Выясняет цель и ценность задачи, над которой работает.</t>
  </si>
  <si>
    <t xml:space="preserve">Обучение себя и других</t>
  </si>
  <si>
    <t xml:space="preserve">Фокусируется на развитии инженерных скиллов</t>
  </si>
  <si>
    <t xml:space="preserve">Слышит и принимает обратную связь от наставника. Корректирует действия в соответствии с ней
</t>
  </si>
  <si>
    <t xml:space="preserve">Получает от наставника чёткие цели на обучение (роадмап). Вместе с ним отслеживает ключевые точки пути — чек-пойнты.</t>
  </si>
  <si>
    <t xml:space="preserve">Берёт в работу задачи, которые раньше не делал, чтобы научиться</t>
  </si>
  <si>
    <t xml:space="preserve">Перенимает лучшие практики от наставника и коллег.</t>
  </si>
  <si>
    <t xml:space="preserve">Совместно с наставником составил план развития и двигается по чек-пойнтам.</t>
  </si>
  <si>
    <t xml:space="preserve">Оценка менеджера</t>
  </si>
  <si>
    <t xml:space="preserve">Самостоятельно решает задачи на спринт из бэклога, которые ему поставила команда.</t>
  </si>
  <si>
    <t xml:space="preserve">Участвует в процессе Code Review, комментирует, спрашивает не понятное. Может принимать итоговые решений об апруве</t>
  </si>
  <si>
    <t xml:space="preserve">Декомпозирует большую часть задач самостоятельно, с подробным описание процесса реализации задачи. Иногда просит помочь старших коллег в декомпозиции больших задач.</t>
  </si>
  <si>
    <t xml:space="preserve">Самостоятельно оценивает риски и работает с важной функциональностью.</t>
  </si>
  <si>
    <t xml:space="preserve">Пишет unit на свой код с учётом «пирамиды тестирования» и практик компании. </t>
  </si>
  <si>
    <t xml:space="preserve">Выбирает оптимальный способ проверки качества задач. Использует подходящие виды тестирования.</t>
  </si>
  <si>
    <t xml:space="preserve">Использует принятые в компании инструменты и технологии.</t>
  </si>
  <si>
    <t xml:space="preserve">Валидирует новые технические решения или подходы с ответственными за проект специалистами.</t>
  </si>
  <si>
    <t xml:space="preserve">Консультируется с коллегами для выбора безопасных подходов к реализации функциональности.</t>
  </si>
  <si>
    <t xml:space="preserve">Избегает распространённых уязвимостей безопасности (OWASP) при решении задач.</t>
  </si>
  <si>
    <t xml:space="preserve">Берет в работу задачи из техдлога, прорабатывает их самостоятельно и реализует.</t>
  </si>
  <si>
    <t xml:space="preserve">Анализирует проблемы и исправляет их видимые симптомы.</t>
  </si>
  <si>
    <t xml:space="preserve">Проверяет «зелёные» (функциональность работает так, как ожидалось) и «красные» (не работает так, как ожидалось) сценарии.</t>
  </si>
  <si>
    <t xml:space="preserve">Синхронизирует план работы и конечную цель. Срок выполнения и ожидаемый результат обсуждает с наставником или командой</t>
  </si>
  <si>
    <t xml:space="preserve">Выполняет обещанное. Например, делает задачу в срок или своевременно оповещает о проблеме, просит о помощи. Убеждается, что задача соответствует DoR команды, а при завершении — DoD команды</t>
  </si>
  <si>
    <t xml:space="preserve">Признаёт ошибки и берёт ответственность за их исправление</t>
  </si>
  <si>
    <t xml:space="preserve">Просит помощи у опытных коллег, когда нужно сделать дизайн-ревью решения.</t>
  </si>
  <si>
    <t xml:space="preserve">Проактивно говорит о проблемах во время спринта. Вместе с командой ищет выход из ситуации.</t>
  </si>
  <si>
    <t xml:space="preserve">Презентует идеи и предложения команде, участвует в обзоре результатов работы.</t>
  </si>
  <si>
    <t xml:space="preserve">Даёт конструктивную обратную связь, подкрепляет её фактами.</t>
  </si>
  <si>
    <t xml:space="preserve">Выбирает подходящие инструменты для коммуникации в разных ситуациях. Например, собирает встречу в Толке или пишет письма на коллег, возможно решает вопросы в чате в корп месседжере.</t>
  </si>
  <si>
    <t xml:space="preserve">Своевременно говорит о том, что требует улучшения, и не замалчивает проблемы.</t>
  </si>
  <si>
    <t xml:space="preserve">Ставит успех команды выше личных целей.</t>
  </si>
  <si>
    <t xml:space="preserve">Предлагает помощь коллегам, если она нужна.</t>
  </si>
  <si>
    <t xml:space="preserve">Ищет способы повысить эффективность своей работы. Составляет план действий.</t>
  </si>
  <si>
    <t xml:space="preserve">Делает всё, чтобы команда достигла цели спринта. Помогает коллегам, если может, и просит помощи, когда она нужна.</t>
  </si>
  <si>
    <t xml:space="preserve">Понимает, как задачи бэклога влияют на цели бизнеса.</t>
  </si>
  <si>
    <t xml:space="preserve">Интересуется обратной связью от пользователей и обсуждает её с командой. Разбирается с проблемами в своей зоне ответственности. Например, ищет причину, если в общий канал зарепортили баг.</t>
  </si>
  <si>
    <t xml:space="preserve">Описывает для пользовательских историй/задач критерии приёмки</t>
  </si>
  <si>
    <t xml:space="preserve">Самостоятельно находит мотивацию. Двигается по плану развития без напоминаний со стороны менеджера/наставника/лида хаба.
Изучает лучшие практики разработки и проектирования микросервисной архитектуры.
Отслеживает динамику развития по тем целям, которые поставил.</t>
  </si>
  <si>
    <t xml:space="preserve">Декомпозирует задачи. Умеет оценивать технические риски. Предлагает меры по их смягчению или устранению.</t>
  </si>
  <si>
    <t xml:space="preserve">Работает с неопределённостью, например открытыми задачами в своей области ответственности. Понимает, что нужно сделать, но может не понимать, как.</t>
  </si>
  <si>
    <t xml:space="preserve">Анализирует проблемы, которые возникают в продакшене. Может их разрешить. Старается докопаться до сути и решить корневую проблему. Предлагает и продвигает способы предотвращения рецидивов.</t>
  </si>
  <si>
    <t xml:space="preserve">Умеет проектировать независимые компоненты так, чтобы они были простыми, тестируемыми и поддерживаемыми. Пишет API, которое сложно использовать не по назначению.</t>
  </si>
  <si>
    <t xml:space="preserve">Понимает, как задачи могут повлиять на другие команды/сервисы. Уведомляет коллег об изменениях, которые планирует внести.</t>
  </si>
  <si>
    <t xml:space="preserve">Ведёт технический бэклог и/или роадмап команды/проекта</t>
  </si>
  <si>
    <t xml:space="preserve">Разрабатывает стандарты качества кода, тестирования, безопасности, отказоустойчивости и других нефункциональных требований.</t>
  </si>
  <si>
    <t xml:space="preserve">Даёт содержательные комментарии, с предложениями и примера на Code Review.</t>
  </si>
  <si>
    <t xml:space="preserve">Находит баланс между скоростью и качеством разработки/тестирования.</t>
  </si>
  <si>
    <t xml:space="preserve">Самостоятельно находит ответы на вопросы по техническим метрикам.</t>
  </si>
  <si>
    <t xml:space="preserve">Для сложных и долгих задачах, предлагает команде провести иссследование или сделать прототип решения. По результатам исследования или на прототипе проверяет гипотезы или новое техническое решение.</t>
  </si>
  <si>
    <t xml:space="preserve">Документирует технические решения и поддерживает документацию команды в актуальном состоянии.</t>
  </si>
  <si>
    <t xml:space="preserve">Отвечает за проект. Находит мотивацию чинить, договариваться, мониторить и отвечать за всех, как за свои задачи</t>
  </si>
  <si>
    <t xml:space="preserve">Инициирует диалог с другими командами, если того требует задача.</t>
  </si>
  <si>
    <t xml:space="preserve">Фиксирует договорённости после обсуждения. Например в статье в Confluence.</t>
  </si>
  <si>
    <t xml:space="preserve">Выбирает задачу, которая приближает команду к результату, а не которая нравится.</t>
  </si>
  <si>
    <t xml:space="preserve">Предлагает улучшения и берёт на себя ответственность, если видит проблему в процессах или при реализации задач.</t>
  </si>
  <si>
    <t xml:space="preserve">Находит ответственных и работает с ними, если для решения проблемы нужно выйти за рамки команды.</t>
  </si>
  <si>
    <t xml:space="preserve">Описывает для пользовательских историй/задач критерии приёмки.</t>
  </si>
  <si>
    <t xml:space="preserve">Убеждается, что цели команды прокачивают продукт и позитивно влияют на пользователей. Помогает формировать бэклог, исходя из целей бизнеса.</t>
  </si>
  <si>
    <t xml:space="preserve">Помогает владельцу продукта декомпозировать крупные фичи на набор полезных инкрементов, которые можно релизить независимо.</t>
  </si>
  <si>
    <t xml:space="preserve">Помогает коллегам из команды/хаба/арата/клана. Умеет приоритизировать запросы и давать обратную связь. Объясняет причину, если не может помочь коллегам сразу.</t>
  </si>
  <si>
    <t xml:space="preserve">Пользуется продуктом компании, предлагает UX или продуктовые улучшения на основе своего опыта.</t>
  </si>
  <si>
    <t xml:space="preserve">Развивает инженерные навыки и soft skills.</t>
  </si>
  <si>
    <t xml:space="preserve">Терпелив к тем, кто обладает меньшими знаниями и навыками. Поддерживает их.</t>
  </si>
  <si>
    <t xml:space="preserve">Занимается онбордингом новичков. Выступает наставником на время испытательного срока.</t>
  </si>
  <si>
    <t xml:space="preserve">Делится опытом внутри команды/хаба/клана.</t>
  </si>
  <si>
    <t xml:space="preserve">Декомпозирует проблемы или бизнес-сценарии в решениях, которые состоят из нескольких компонентов.</t>
  </si>
  <si>
    <t xml:space="preserve">Локализует/предотвращает проблемы и ошибки в функциональности своей команды. Даже если они связаны с изменениями, которые внесли другие команды.</t>
  </si>
  <si>
    <t xml:space="preserve">Находит и решает проблемы с внешними зависимостями проекта.</t>
  </si>
  <si>
    <t xml:space="preserve">Улучшает общие инженерные инструменты компании.</t>
  </si>
  <si>
    <t xml:space="preserve">Может самостоятельно протестировать сложные тест-кейсы. Для проверки своей работы или ресерча.</t>
  </si>
  <si>
    <t xml:space="preserve">Проектирует тестопригодные системы и предлагает спобосы исправлния тех, которые сложно тестировать.</t>
  </si>
  <si>
    <t xml:space="preserve">Ищет неэффективные места в коде/архитектуре/тестах. Пополняет технический бэклог команды.</t>
  </si>
  <si>
    <t xml:space="preserve">Устанавливает и тестирует нефункциональные требования или привлекает для этого кого-то из команды/хаба/клана</t>
  </si>
  <si>
    <t xml:space="preserve">Ведет систематическую работу по поддержанию % покрытия кода unit тестами на требуемом уровне установленному в компании в рамках своих информационных систем.</t>
  </si>
  <si>
    <t xml:space="preserve">Регулярно выступает в роли фича-лида в своей команде. Отвечает за полную реализацию фичи: декомпозицию, контроль сроков и качества, доставку до пользователей.</t>
  </si>
  <si>
    <t xml:space="preserve">Работает прозрачно, разрешает техническую неопределённость для коллег и стейкхолдеров.</t>
  </si>
  <si>
    <t xml:space="preserve">Фиксирует договорённости после обсуждения. Например в статье в Confluence</t>
  </si>
  <si>
    <t xml:space="preserve">Договаривается о взаимовыгодном решении, когда стороны видят решение по-разному.</t>
  </si>
  <si>
    <t xml:space="preserve">Фасилитирует дискуссии, не допускает неэффективных обсуждений.</t>
  </si>
  <si>
    <t xml:space="preserve">Выполняет работу смежных ролей (T-shaping), которые нужны команде.</t>
  </si>
  <si>
    <t xml:space="preserve">Берёт на себя дополнительные роли в команде, например, скрам-мастера, AppSec-чемпиона и т.п.</t>
  </si>
  <si>
    <t xml:space="preserve">Предлагает и реализует улучшения для инженерных процессов в команде.</t>
  </si>
  <si>
    <t xml:space="preserve">Пользуется продуктом компании, предлагает UX или продуктовые улучшения на основе своего опыта</t>
  </si>
  <si>
    <t xml:space="preserve">Интересуется обратной связью от пользователей и обсуждает с командой инсайты.</t>
  </si>
  <si>
    <t xml:space="preserve">Предлагает альтернативные способы проверки гипотез и технических решений, которые позволят получить данные быстрее или с меньшими затратами.</t>
  </si>
  <si>
    <t xml:space="preserve">Проводит технические интервью, прокачивает навыки интервьюера.</t>
  </si>
  <si>
    <t xml:space="preserve">Делится опытом внутри команды/хаба/клана</t>
  </si>
  <si>
    <t xml:space="preserve">Выступает на внутренних митапах. Делится ценными знаниями с коллегами.</t>
  </si>
  <si>
    <t xml:space="preserve">Участвует в формировании гайдов/инструкций для помощи коллегам в работе</t>
  </si>
  <si>
    <t xml:space="preserve">Берёт задачи с высокой степенью неопределённости, в которых нет образа результата и непонятно, что нужно сделать. Исследует, анализирует, сравнивает альтернативы и предлагает решение.</t>
  </si>
  <si>
    <t xml:space="preserve">Видит большую картинку в целом (бэк, фронт, мобильные приложения, базы), когда прорабатывает решение.</t>
  </si>
  <si>
    <t xml:space="preserve">Ведёт кросс-артовые, квартальные и более длительные и масштабные проекты/инициативы.</t>
  </si>
  <si>
    <t xml:space="preserve">Применяет широкий круг библиотек, платформ и систем на экспертном уровне.</t>
  </si>
  <si>
    <t xml:space="preserve">Самостоятельно или в команде работает над закрытием Issue на проектах внутренней разработки (библиотеки, шаблон).</t>
  </si>
  <si>
    <t xml:space="preserve">Знает, в каких случаях стандартные инструменты и технологии будут неэффективными. Анализирует и находит альтернативные решения.</t>
  </si>
  <si>
    <t xml:space="preserve">Системно контролирует величину технического долга. Не допускает, чтобы техдолг затормозил процесс разработки. Доносит до владельца бэклога ценность технических изменений.</t>
  </si>
  <si>
    <t xml:space="preserve">Системно выявляет небезопасные подходы и/или уязвимости в рамках Code Review и в своих задачах. Помогает в решении уязвимостей другим разработчикам.</t>
  </si>
  <si>
    <t xml:space="preserve">Даёт коллегам качественную обратную связь по сложным темам. Задаёт правильные вопросы. Использует аргументы, которые подтверждают выбранное решение и вскрывают ошибочные предположения.</t>
  </si>
  <si>
    <t xml:space="preserve">Выступает как фича-лид проектов/инициатив, которые длятся больше квартала.</t>
  </si>
  <si>
    <t xml:space="preserve">Отвечает за техническую реализацию проекта и работу других членов команды. Отвечает за доставку фичи до конечных пользователей.</t>
  </si>
  <si>
    <t xml:space="preserve">Организует нужных людей под конкретный проект, продукт или инициативу, проводит груминги и погружает в контекст.</t>
  </si>
  <si>
    <t xml:space="preserve">Убеждается на основе метрик и логов, что бизнес-задача решена.</t>
  </si>
  <si>
    <t xml:space="preserve">Внедряет новые инженерные процессы в своей команде/арте/хабе.</t>
  </si>
  <si>
    <t xml:space="preserve">Следит за продуктовыми метриками своей команды. Организует их мониторинг, реагирует в случае непредвиденных колебаний. </t>
  </si>
  <si>
    <t xml:space="preserve">Проходит внешние или внутренние курсы. Участвует в создании обучающих курсов и материалов.</t>
  </si>
  <si>
    <t xml:space="preserve">Следит за трендами и самостоятельно изучает новые технологии, которые будут полезны команде/хабу/клану. Делится знаниями с коллегами</t>
  </si>
  <si>
    <t xml:space="preserve">Ведёт кросс-юнитные, квартальные и более длительные и масштабные проекты/инициативы.</t>
  </si>
  <si>
    <t xml:space="preserve">Проектирует внутренние технические продукты, интеграционные сервисы или библиотеки, которыми пользуются другие инженеры. Выносит реализуемые проекты в "Витрину общих сервисов".</t>
  </si>
  <si>
    <t xml:space="preserve">Создает продукты, которые удовлетворяют текущим потребностям своей команды и команд из других доменных зон. Его продукты легко расширить под будущие потребности.</t>
  </si>
  <si>
    <t xml:space="preserve">Создаёт и внедряет новые подходы и технологии в рамках компании. Оценивает их пользу и применимость.</t>
  </si>
  <si>
    <t xml:space="preserve">Синхронизирует новую технологию со всеми платформенными командами и кланом. Следит за всем жизненным циклом, адаптацией и внедрением технологии, анализирует обратную связь по ней.</t>
  </si>
  <si>
    <t xml:space="preserve">Ведёт актуальную и понятную документацию по продукту, которая отвечает на 80% вопросов пользователей.</t>
  </si>
  <si>
    <t xml:space="preserve">Владеет техническим бэклогом и роадмапом продукта.</t>
  </si>
  <si>
    <t xml:space="preserve">Устанавливает метрики успеха продукта и регулярно следит за ними.</t>
  </si>
  <si>
    <t xml:space="preserve">Общается с пользователями продукта. Следит за метриками удовлетворённости.</t>
  </si>
  <si>
    <t xml:space="preserve">Обеспечивает прозрачность планов и приоритетов для стейкхолдеров и пользователей продукта.</t>
  </si>
  <si>
    <t xml:space="preserve">Хорошо знает потребности пользователей продукта и бизнес-контекст команды.</t>
  </si>
  <si>
    <t xml:space="preserve">Может обосновать, как продукт влияет на бизнес и продуктовые метрики компании.</t>
  </si>
  <si>
    <t xml:space="preserve">Участвует в дискавери- и деливери-процессах, помогает вырабатывать технологические решения, которые доставляют максимальную ценность до пользователей.</t>
  </si>
  <si>
    <t xml:space="preserve">Регулярно выступает на внутренних митапах</t>
  </si>
  <si>
    <t xml:space="preserve">Системно работает над развитием технического уровня всех членов команды в своём функциональном направлении.</t>
  </si>
  <si>
    <t xml:space="preserve">Участвует на внешних конференция в роли слушателя или спикера</t>
  </si>
  <si>
    <t xml:space="preserve">Оценка Лида</t>
  </si>
  <si>
    <t xml:space="preserve">Оценка РЦК</t>
  </si>
  <si>
    <t xml:space="preserve">Оценка ИТ-Лидера</t>
  </si>
  <si>
    <t>Идеал</t>
  </si>
  <si>
    <t xml:space="preserve">Внедряет новые инженерные процессы в своей команде.</t>
  </si>
  <si>
    <t xml:space="preserve">Формирование единых архитектурных подходов в рамках компании или Арта, для проектирования сервисов и микро-сервисной архитектуры информационных систем. Внедрение принятых архитектурных решений в клане, хабе.</t>
  </si>
  <si>
    <t xml:space="preserve">Поддержание в актуальном состоянии шаблона по созданию нового сервиса и развитие внутренних библиотек и сервисов, в соответствии с современными тенденциями разработки и запросами исходящими от команд.</t>
  </si>
  <si>
    <t xml:space="preserve">Развитие и поддержка "Технологического радара Backend". Видит вектор развития индустрии, отрасли. Понимает цели и стратегию компании, с учетом этого активно участвует в формировании планов по развитию или внедрению новых технологий, а так же выведению из эксплуатации старых. Участвует как в роли лидера инициативы так и в ее реализации.
</t>
  </si>
  <si>
    <t xml:space="preserve">Контролирует соблюдение принятых в компании стандартов разработки. Формирует и актуализирует единые стандарты разработки принятых в компании. Внедряет изменения стандартов разработки в команды.</t>
  </si>
  <si>
    <t xml:space="preserve">Разработчики находящиеся в хабе регулярно участвуют в развитии внутренних инструментов компании (библиотеки, шаблоны, сервисы), например через создание и реализацию issue в проектах.</t>
  </si>
  <si>
    <t xml:space="preserve">Помогает спланировать и согласовывать работу других команд/артов или внешних экспертов над продуктами, которыми владеет.
</t>
  </si>
  <si>
    <t xml:space="preserve">Внедряет новые инженерные процессы в своей команде или арте.</t>
  </si>
  <si>
    <t xml:space="preserve">Знает техническую стратегию компании. В работе руководствуется долгосрочными целями.</t>
  </si>
  <si>
    <t xml:space="preserve">Находит технические проблемы, которые мешают бизнесу развиваться сейчас или грозят в будущем.</t>
  </si>
  <si>
    <t xml:space="preserve">Участвует во внутренних и внешних конференция в роли спикера.</t>
  </si>
  <si>
    <t xml:space="preserve">Системно работает над развитием технического уровня всех членов команды и хаба в своём функциональном направлении.</t>
  </si>
  <si>
    <t xml:space="preserve">Разработчики находящиеся в хабе регулярно выступают на внутренних митапах, пишут статьи, гайды и т.п.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</si>
</sst>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0.000000"/>
      <color theme="1"/>
      <name val="Arial"/>
      <scheme val="minor"/>
    </font>
    <font>
      <b/>
      <sz val="14.000000"/>
      <name val="Arial"/>
      <scheme val="minor"/>
    </font>
    <font>
      <sz val="14.000000"/>
      <name val="Arial"/>
      <scheme val="minor"/>
    </font>
    <font>
      <sz val="18.000000"/>
      <name val="Arial"/>
      <scheme val="minor"/>
    </font>
    <font>
      <sz val="12.000000"/>
      <name val="Arial"/>
      <scheme val="minor"/>
    </font>
    <font>
      <sz val="10.000000"/>
      <color theme="1"/>
      <name val="Arial"/>
    </font>
    <font>
      <b/>
      <sz val="10.000000"/>
      <name val="Arial"/>
    </font>
    <font>
      <b/>
      <sz val="10.000000"/>
      <color theme="1"/>
      <name val="Arial"/>
    </font>
    <font>
      <sz val="10.000000"/>
      <name val="Arial"/>
    </font>
    <font>
      <i/>
      <sz val="10.00000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76A5AF"/>
        <bgColor rgb="FF76A5AF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5"/>
      </patternFill>
    </fill>
  </fills>
  <borders count="3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47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left" vertical="top" wrapText="1"/>
    </xf>
    <xf fontId="0" fillId="0" borderId="0" numFmtId="0" xfId="0" applyAlignment="1">
      <alignment wrapText="1"/>
    </xf>
    <xf fontId="0" fillId="0" borderId="0" numFmtId="0" xfId="0"/>
    <xf fontId="5" fillId="2" borderId="1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7" fillId="2" borderId="1" numFmtId="0" xfId="0" applyFont="1" applyFill="1" applyBorder="1" applyAlignment="1">
      <alignment horizontal="center" vertical="center" wrapText="1"/>
    </xf>
    <xf fontId="7" fillId="3" borderId="2" numFmtId="0" xfId="0" applyFont="1" applyFill="1" applyBorder="1" applyAlignment="1">
      <alignment horizontal="center" textRotation="90" vertical="center" wrapText="1"/>
    </xf>
    <xf fontId="7" fillId="0" borderId="3" numFmtId="0" xfId="0" applyFont="1" applyBorder="1" applyAlignment="1">
      <alignment horizontal="center" vertical="center" wrapText="1"/>
    </xf>
    <xf fontId="5" fillId="0" borderId="4" numFmtId="0" xfId="0" applyFont="1" applyBorder="1" applyAlignment="1">
      <alignment vertical="center" wrapText="1"/>
    </xf>
    <xf fontId="5" fillId="0" borderId="4" numFmtId="1" xfId="0" applyNumberFormat="1" applyFont="1" applyBorder="1" applyAlignment="1">
      <alignment horizontal="center" vertical="center" wrapText="1"/>
    </xf>
    <xf fontId="5" fillId="0" borderId="5" numFmtId="0" xfId="0" applyFont="1" applyBorder="1" applyAlignment="1">
      <alignment wrapText="1"/>
    </xf>
    <xf fontId="8" fillId="0" borderId="6" numFmtId="0" xfId="0" applyFont="1" applyBorder="1" applyAlignment="1">
      <alignment wrapText="1"/>
    </xf>
    <xf fontId="8" fillId="0" borderId="7" numFmtId="0" xfId="0" applyFont="1" applyBorder="1" applyAlignment="1">
      <alignment wrapText="1"/>
    </xf>
    <xf fontId="8" fillId="0" borderId="8" numFmtId="0" xfId="0" applyFont="1" applyBorder="1" applyAlignment="1">
      <alignment vertical="center" wrapText="1"/>
    </xf>
    <xf fontId="5" fillId="0" borderId="8" numFmtId="1" xfId="0" applyNumberFormat="1" applyFont="1" applyBorder="1" applyAlignment="1">
      <alignment horizontal="center" vertical="center" wrapText="1"/>
    </xf>
    <xf fontId="5" fillId="0" borderId="9" numFmtId="0" xfId="0" applyFont="1" applyBorder="1" applyAlignment="1">
      <alignment wrapText="1"/>
    </xf>
    <xf fontId="5" fillId="0" borderId="8" numFmtId="0" xfId="0" applyFont="1" applyBorder="1" applyAlignment="1">
      <alignment vertical="center" wrapText="1"/>
    </xf>
    <xf fontId="8" fillId="0" borderId="10" numFmtId="0" xfId="0" applyFont="1" applyBorder="1" applyAlignment="1">
      <alignment wrapText="1"/>
    </xf>
    <xf fontId="5" fillId="0" borderId="11" numFmtId="0" xfId="0" applyFont="1" applyBorder="1" applyAlignment="1">
      <alignment vertical="center" wrapText="1"/>
    </xf>
    <xf fontId="5" fillId="0" borderId="11" numFmtId="1" xfId="0" applyNumberFormat="1" applyFont="1" applyBorder="1" applyAlignment="1">
      <alignment horizontal="center" vertical="center" wrapText="1"/>
    </xf>
    <xf fontId="5" fillId="0" borderId="12" numFmtId="0" xfId="0" applyFont="1" applyBorder="1" applyAlignment="1">
      <alignment wrapText="1"/>
    </xf>
    <xf fontId="7" fillId="0" borderId="7" numFmtId="0" xfId="0" applyFont="1" applyBorder="1" applyAlignment="1">
      <alignment horizontal="center" vertical="center" wrapText="1"/>
    </xf>
    <xf fontId="5" fillId="0" borderId="13" numFmtId="0" xfId="0" applyFont="1" applyBorder="1" applyAlignment="1">
      <alignment vertical="center" wrapText="1"/>
    </xf>
    <xf fontId="5" fillId="0" borderId="13" numFmtId="1" xfId="0" applyNumberFormat="1" applyFont="1" applyBorder="1" applyAlignment="1">
      <alignment horizontal="center" vertical="center" wrapText="1"/>
    </xf>
    <xf fontId="5" fillId="0" borderId="14" numFmtId="0" xfId="0" applyFont="1" applyBorder="1" applyAlignment="1">
      <alignment wrapText="1"/>
    </xf>
    <xf fontId="8" fillId="0" borderId="15" numFmtId="0" xfId="0" applyFont="1" applyBorder="1" applyAlignment="1">
      <alignment wrapText="1"/>
    </xf>
    <xf fontId="7" fillId="4" borderId="16" numFmtId="0" xfId="0" applyFont="1" applyFill="1" applyBorder="1" applyAlignment="1">
      <alignment horizontal="center" vertical="center" wrapText="1"/>
    </xf>
    <xf fontId="8" fillId="0" borderId="17" numFmtId="0" xfId="0" applyFont="1" applyBorder="1" applyAlignment="1">
      <alignment wrapText="1"/>
    </xf>
    <xf fontId="5" fillId="4" borderId="18" numFmtId="4" xfId="0" applyNumberFormat="1" applyFont="1" applyFill="1" applyBorder="1" applyAlignment="1">
      <alignment horizontal="center" vertical="center" wrapText="1"/>
    </xf>
    <xf fontId="5" fillId="0" borderId="18" numFmtId="0" xfId="0" applyFont="1" applyBorder="1" applyAlignment="1">
      <alignment wrapText="1"/>
    </xf>
    <xf fontId="7" fillId="5" borderId="2" numFmtId="0" xfId="0" applyFont="1" applyFill="1" applyBorder="1" applyAlignment="1">
      <alignment horizontal="center" textRotation="90" vertical="center" wrapText="1"/>
    </xf>
    <xf fontId="8" fillId="0" borderId="11" numFmtId="0" xfId="0" applyFont="1" applyBorder="1" applyAlignment="1">
      <alignment vertical="center" wrapText="1"/>
    </xf>
    <xf fontId="8" fillId="0" borderId="18" numFmtId="0" xfId="0" applyFont="1" applyBorder="1" applyAlignment="1">
      <alignment vertical="center" wrapText="1"/>
    </xf>
    <xf fontId="5" fillId="0" borderId="18" numFmtId="1" xfId="0" applyNumberFormat="1" applyFont="1" applyBorder="1" applyAlignment="1">
      <alignment horizontal="center" vertical="center" wrapText="1"/>
    </xf>
    <xf fontId="5" fillId="0" borderId="19" numFmtId="0" xfId="0" applyFont="1" applyBorder="1" applyAlignment="1">
      <alignment wrapText="1"/>
    </xf>
    <xf fontId="5" fillId="6" borderId="8" numFmtId="0" xfId="0" applyFont="1" applyFill="1" applyBorder="1" applyAlignment="1">
      <alignment horizontal="center" vertical="center" wrapText="1"/>
    </xf>
    <xf fontId="5" fillId="6" borderId="8" numFmtId="0" xfId="0" applyFont="1" applyFill="1" applyBorder="1" applyAlignment="1">
      <alignment horizontal="center" vertical="center"/>
    </xf>
    <xf fontId="7" fillId="6" borderId="2" numFmtId="0" xfId="0" applyFont="1" applyFill="1" applyBorder="1" applyAlignment="1">
      <alignment horizontal="center" textRotation="90" vertical="center" wrapText="1"/>
    </xf>
    <xf fontId="5" fillId="3" borderId="8" numFmtId="0" xfId="0" applyFont="1" applyFill="1" applyBorder="1" applyAlignment="1">
      <alignment horizontal="center" vertical="center" wrapText="1"/>
    </xf>
    <xf fontId="5" fillId="0" borderId="8" numFmtId="4" xfId="0" applyNumberFormat="1" applyFont="1" applyBorder="1" applyAlignment="1">
      <alignment horizontal="center" vertical="center"/>
    </xf>
    <xf fontId="5" fillId="0" borderId="8" numFmtId="4" xfId="0" applyNumberFormat="1" applyFont="1" applyBorder="1" applyAlignment="1">
      <alignment horizontal="center" vertical="center" wrapText="1"/>
    </xf>
    <xf fontId="5" fillId="0" borderId="8" numFmtId="0" xfId="0" applyFont="1" applyBorder="1" applyAlignment="1">
      <alignment horizontal="center" vertical="center" wrapText="1"/>
    </xf>
    <xf fontId="5" fillId="5" borderId="8" numFmtId="0" xfId="0" applyFont="1" applyFill="1" applyBorder="1" applyAlignment="1">
      <alignment horizontal="center" vertical="center" wrapText="1"/>
    </xf>
    <xf fontId="7" fillId="0" borderId="20" numFmtId="0" xfId="0" applyFont="1" applyBorder="1" applyAlignment="1">
      <alignment horizontal="center" vertical="center" wrapText="1"/>
    </xf>
    <xf fontId="7" fillId="0" borderId="21" numFmtId="0" xfId="0" applyFont="1" applyBorder="1" applyAlignment="1">
      <alignment vertical="center" wrapText="1"/>
    </xf>
    <xf fontId="5" fillId="0" borderId="21" numFmtId="0" xfId="0" applyFont="1" applyBorder="1" applyAlignment="1">
      <alignment vertical="center" wrapText="1"/>
    </xf>
    <xf fontId="5" fillId="0" borderId="22" numFmtId="0" xfId="0" applyFont="1" applyBorder="1" applyAlignment="1">
      <alignment vertical="center" wrapText="1"/>
    </xf>
    <xf fontId="5" fillId="7" borderId="8" numFmtId="0" xfId="0" applyFont="1" applyFill="1" applyBorder="1" applyAlignment="1">
      <alignment horizontal="center" vertical="center" wrapText="1"/>
    </xf>
    <xf fontId="5" fillId="8" borderId="8" numFmtId="0" xfId="0" applyFont="1" applyFill="1" applyBorder="1" applyAlignment="1">
      <alignment horizontal="center" vertical="center" wrapText="1"/>
    </xf>
    <xf fontId="7" fillId="7" borderId="2" numFmtId="0" xfId="0" applyFont="1" applyFill="1" applyBorder="1" applyAlignment="1">
      <alignment horizontal="center" textRotation="90" vertical="center" wrapText="1"/>
    </xf>
    <xf fontId="5" fillId="9" borderId="8" numFmtId="0" xfId="0" applyFont="1" applyFill="1" applyBorder="1" applyAlignment="1">
      <alignment horizontal="center" vertical="center" wrapText="1"/>
    </xf>
    <xf fontId="5" fillId="10" borderId="8" numFmtId="0" xfId="0" applyFont="1" applyFill="1" applyBorder="1" applyAlignment="1">
      <alignment horizontal="center" vertical="center" wrapText="1"/>
    </xf>
    <xf fontId="7" fillId="8" borderId="2" numFmtId="0" xfId="0" applyFont="1" applyFill="1" applyBorder="1" applyAlignment="1">
      <alignment horizontal="center" textRotation="90" vertical="center" wrapText="1"/>
    </xf>
    <xf fontId="5" fillId="0" borderId="0" numFmtId="0" xfId="0" applyFont="1" applyAlignment="1">
      <alignment wrapText="1"/>
    </xf>
    <xf fontId="5" fillId="0" borderId="0" numFmtId="0" xfId="0" applyFont="1" applyAlignment="1">
      <alignment horizontal="center" wrapText="1"/>
    </xf>
    <xf fontId="5" fillId="0" borderId="21" numFmtId="1" xfId="0" applyNumberFormat="1" applyFont="1" applyBorder="1" applyAlignment="1">
      <alignment horizontal="center" vertical="center" wrapText="1"/>
    </xf>
    <xf fontId="5" fillId="0" borderId="22" numFmtId="0" xfId="0" applyFont="1" applyBorder="1" applyAlignment="1">
      <alignment wrapText="1"/>
    </xf>
    <xf fontId="7" fillId="9" borderId="2" numFmtId="0" xfId="0" applyFont="1" applyFill="1" applyBorder="1" applyAlignment="1">
      <alignment horizontal="center" textRotation="90" vertical="center" wrapText="1"/>
    </xf>
    <xf fontId="9" fillId="0" borderId="21" numFmtId="0" xfId="0" applyFont="1" applyBorder="1" applyAlignment="1">
      <alignment horizontal="center" vertical="center" wrapText="1"/>
    </xf>
    <xf fontId="7" fillId="10" borderId="2" numFmtId="0" xfId="0" applyFont="1" applyFill="1" applyBorder="1" applyAlignment="1">
      <alignment horizontal="center" textRotation="90" vertical="center" wrapText="1"/>
    </xf>
    <xf fontId="8" fillId="0" borderId="13" numFmtId="0" xfId="0" applyFont="1" applyBorder="1" applyAlignment="1">
      <alignment vertical="center" wrapText="1"/>
    </xf>
    <xf fontId="7" fillId="4" borderId="23" numFmtId="0" xfId="0" applyFont="1" applyFill="1" applyBorder="1" applyAlignment="1">
      <alignment horizontal="center" vertical="center" wrapText="1"/>
    </xf>
    <xf fontId="8" fillId="0" borderId="24" numFmtId="0" xfId="0" applyFont="1" applyBorder="1" applyAlignment="1">
      <alignment wrapText="1"/>
    </xf>
    <xf fontId="8" fillId="0" borderId="25" numFmtId="0" xfId="0" applyFont="1" applyBorder="1" applyAlignment="1">
      <alignment wrapText="1"/>
    </xf>
    <xf fontId="5" fillId="4" borderId="13" numFmtId="4" xfId="0" applyNumberFormat="1" applyFont="1" applyFill="1" applyBorder="1" applyAlignment="1">
      <alignment horizontal="center" vertical="center" wrapText="1"/>
    </xf>
    <xf fontId="5" fillId="0" borderId="13" numFmtId="0" xfId="0" applyFont="1" applyBorder="1" applyAlignment="1">
      <alignment wrapText="1"/>
    </xf>
    <xf fontId="5" fillId="0" borderId="0" numFmtId="0" xfId="0" applyFont="1" applyAlignment="1">
      <alignment horizontal="center" vertical="center" wrapText="1"/>
    </xf>
    <xf fontId="5" fillId="0" borderId="0" numFmtId="0" xfId="0" applyFont="1"/>
    <xf fontId="5" fillId="11" borderId="0" numFmtId="0" xfId="0" applyFont="1" applyFill="1" applyAlignment="1">
      <alignment wrapText="1"/>
    </xf>
    <xf fontId="7" fillId="2" borderId="1" numFmtId="0" xfId="0" applyFont="1" applyFill="1" applyBorder="1" applyAlignment="1">
      <alignment horizontal="center" vertical="center"/>
    </xf>
    <xf fontId="5" fillId="0" borderId="8" numFmtId="0" xfId="0" applyFont="1" applyBorder="1" applyAlignment="1">
      <alignment wrapText="1"/>
    </xf>
    <xf fontId="5" fillId="0" borderId="5" numFmtId="0" xfId="0" applyFont="1" applyBorder="1"/>
    <xf fontId="7" fillId="3" borderId="6" numFmtId="0" xfId="0" applyFont="1" applyFill="1" applyBorder="1" applyAlignment="1">
      <alignment horizontal="center" textRotation="90" vertical="center" wrapText="1"/>
    </xf>
    <xf fontId="5" fillId="0" borderId="14" numFmtId="0" xfId="0" applyFont="1" applyBorder="1"/>
    <xf fontId="8" fillId="0" borderId="6" numFmtId="0" xfId="0" applyFont="1" applyBorder="1"/>
    <xf fontId="8" fillId="0" borderId="7" numFmtId="0" xfId="0" applyFont="1" applyBorder="1"/>
    <xf fontId="5" fillId="0" borderId="9" numFmtId="0" xfId="0" applyFont="1" applyBorder="1"/>
    <xf fontId="8" fillId="0" borderId="10" numFmtId="0" xfId="0" applyFont="1" applyBorder="1"/>
    <xf fontId="5" fillId="0" borderId="12" numFmtId="0" xfId="0" applyFont="1" applyBorder="1"/>
    <xf fontId="8" fillId="0" borderId="15" numFmtId="0" xfId="0" applyFont="1" applyBorder="1"/>
    <xf fontId="8" fillId="0" borderId="17" numFmtId="0" xfId="0" applyFont="1" applyBorder="1"/>
    <xf fontId="5" fillId="4" borderId="18" numFmtId="4" xfId="0" applyNumberFormat="1" applyFont="1" applyFill="1" applyBorder="1" applyAlignment="1">
      <alignment horizontal="center" vertical="center"/>
    </xf>
    <xf fontId="5" fillId="0" borderId="18" numFmtId="0" xfId="0" applyFont="1" applyBorder="1"/>
    <xf fontId="5" fillId="0" borderId="4" numFmtId="1" xfId="0" applyNumberFormat="1" applyFont="1" applyBorder="1" applyAlignment="1">
      <alignment horizontal="center" vertical="center"/>
    </xf>
    <xf fontId="5" fillId="0" borderId="18" numFmtId="1" xfId="0" applyNumberFormat="1" applyFont="1" applyBorder="1" applyAlignment="1">
      <alignment horizontal="center" vertical="center"/>
    </xf>
    <xf fontId="5" fillId="0" borderId="19" numFmtId="0" xfId="0" applyFont="1" applyBorder="1"/>
    <xf fontId="5" fillId="0" borderId="11" numFmtId="1" xfId="0" applyNumberFormat="1" applyFont="1" applyBorder="1" applyAlignment="1">
      <alignment horizontal="center" vertical="center"/>
    </xf>
    <xf fontId="5" fillId="0" borderId="8" numFmtId="1" xfId="0" applyNumberFormat="1" applyFont="1" applyBorder="1" applyAlignment="1">
      <alignment horizontal="center" vertical="center"/>
    </xf>
    <xf fontId="5" fillId="0" borderId="21" numFmtId="1" xfId="0" applyNumberFormat="1" applyFont="1" applyBorder="1" applyAlignment="1">
      <alignment horizontal="center" vertical="center"/>
    </xf>
    <xf fontId="5" fillId="0" borderId="22" numFmtId="0" xfId="0" applyFont="1" applyBorder="1"/>
    <xf fontId="8" fillId="0" borderId="24" numFmtId="0" xfId="0" applyFont="1" applyBorder="1"/>
    <xf fontId="8" fillId="0" borderId="25" numFmtId="0" xfId="0" applyFont="1" applyBorder="1"/>
    <xf fontId="5" fillId="4" borderId="13" numFmtId="4" xfId="0" applyNumberFormat="1" applyFont="1" applyFill="1" applyBorder="1" applyAlignment="1">
      <alignment horizontal="center" vertical="center"/>
    </xf>
    <xf fontId="5" fillId="0" borderId="13" numFmtId="0" xfId="0" applyFont="1" applyBorder="1"/>
    <xf fontId="5" fillId="0" borderId="13" numFmtId="1" xfId="0" applyNumberFormat="1" applyFont="1" applyBorder="1" applyAlignment="1">
      <alignment horizontal="center" vertical="center"/>
    </xf>
    <xf fontId="8" fillId="0" borderId="4" numFmtId="0" xfId="0" applyFont="1" applyBorder="1" applyAlignment="1">
      <alignment vertical="center" wrapText="1"/>
    </xf>
    <xf fontId="8" fillId="12" borderId="26" numFmtId="0" xfId="0" applyFont="1" applyFill="1" applyBorder="1" applyAlignment="1">
      <alignment horizontal="left" vertical="center" wrapText="1"/>
    </xf>
    <xf fontId="5" fillId="6" borderId="8" numFmtId="0" xfId="0" applyFont="1" applyFill="1" applyBorder="1" applyAlignment="1">
      <alignment horizontal="center" wrapText="1"/>
    </xf>
    <xf fontId="5" fillId="6" borderId="8" numFmtId="0" xfId="0" applyFont="1" applyFill="1" applyBorder="1" applyAlignment="1">
      <alignment horizontal="center"/>
    </xf>
    <xf fontId="8" fillId="0" borderId="27" numFmtId="0" xfId="0" applyFont="1" applyBorder="1"/>
    <xf fontId="7" fillId="0" borderId="28" numFmtId="0" xfId="0" applyFont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wrapText="1"/>
    </xf>
    <xf fontId="6" fillId="0" borderId="3" numFmtId="0" xfId="0" applyFont="1" applyBorder="1" applyAlignment="1">
      <alignment horizontal="center" vertical="center" wrapText="1"/>
    </xf>
    <xf fontId="5" fillId="0" borderId="1" numFmtId="1" xfId="0" applyNumberFormat="1" applyFont="1" applyBorder="1" applyAlignment="1">
      <alignment horizontal="center" vertical="center"/>
    </xf>
    <xf fontId="6" fillId="0" borderId="20" numFmtId="0" xfId="0" applyFont="1" applyBorder="1" applyAlignment="1">
      <alignment horizontal="center" vertical="center" wrapText="1"/>
    </xf>
    <xf fontId="8" fillId="12" borderId="0" numFmtId="0" xfId="0" applyFont="1" applyFill="1" applyAlignment="1">
      <alignment horizontal="left" wrapText="1"/>
    </xf>
    <xf fontId="5" fillId="0" borderId="1" numFmtId="0" xfId="0" applyFont="1" applyBorder="1" applyAlignment="1">
      <alignment vertical="center" wrapText="1"/>
    </xf>
    <xf fontId="7" fillId="4" borderId="29" numFmtId="0" xfId="0" applyFont="1" applyFill="1" applyBorder="1" applyAlignment="1">
      <alignment horizontal="center" vertical="center" wrapText="1"/>
    </xf>
    <xf fontId="0" fillId="0" borderId="30" numFmtId="0" xfId="0" applyBorder="1"/>
    <xf fontId="8" fillId="0" borderId="31" numFmtId="0" xfId="0" applyFont="1" applyBorder="1"/>
    <xf fontId="5" fillId="4" borderId="25" numFmtId="4" xfId="0" applyNumberFormat="1" applyFont="1" applyFill="1" applyBorder="1" applyAlignment="1">
      <alignment horizontal="center" vertical="center"/>
    </xf>
    <xf fontId="5" fillId="0" borderId="1" numFmtId="1" xfId="0" applyNumberFormat="1" applyFont="1" applyBorder="1" applyAlignment="1">
      <alignment horizontal="center" vertical="center" wrapText="1"/>
    </xf>
    <xf fontId="5" fillId="0" borderId="32" numFmtId="0" xfId="0" applyFont="1" applyBorder="1"/>
    <xf fontId="7" fillId="0" borderId="33" numFmtId="0" xfId="0" applyFont="1" applyBorder="1" applyAlignment="1">
      <alignment horizontal="center" vertical="center" wrapText="1"/>
    </xf>
    <xf fontId="8" fillId="0" borderId="34" numFmtId="0" xfId="0" applyFont="1" applyBorder="1"/>
    <xf fontId="5" fillId="0" borderId="28" numFmtId="0" xfId="0" applyFont="1" applyBorder="1" applyAlignment="1">
      <alignment vertical="center" wrapText="1"/>
    </xf>
    <xf fontId="7" fillId="8" borderId="35" numFmtId="0" xfId="0" applyFont="1" applyFill="1" applyBorder="1" applyAlignment="1">
      <alignment horizontal="center" textRotation="90" vertical="center" wrapText="1"/>
    </xf>
    <xf fontId="7" fillId="10" borderId="6" numFmtId="0" xfId="0" applyFont="1" applyFill="1" applyBorder="1" applyAlignment="1">
      <alignment horizontal="center" textRotation="90" vertical="center" wrapText="1"/>
    </xf>
    <xf fontId="5" fillId="2" borderId="8" numFmtId="0" xfId="0" applyFont="1" applyFill="1" applyBorder="1" applyAlignment="1">
      <alignment horizontal="center" vertical="center" wrapText="1"/>
    </xf>
    <xf fontId="6" fillId="2" borderId="8" numFmtId="0" xfId="0" applyFont="1" applyFill="1" applyBorder="1" applyAlignment="1">
      <alignment horizontal="center" vertical="center" wrapText="1"/>
    </xf>
    <xf fontId="7" fillId="2" borderId="8" numFmtId="0" xfId="0" applyFont="1" applyFill="1" applyBorder="1" applyAlignment="1">
      <alignment horizontal="center" vertical="center"/>
    </xf>
    <xf fontId="7" fillId="2" borderId="8" numFmtId="0" xfId="0" applyFont="1" applyFill="1" applyBorder="1" applyAlignment="1">
      <alignment horizontal="center" vertical="center" wrapText="1"/>
    </xf>
    <xf fontId="7" fillId="3" borderId="1" numFmtId="0" xfId="0" applyFont="1" applyFill="1" applyBorder="1" applyAlignment="1">
      <alignment horizontal="center" textRotation="90" vertical="center" wrapText="1"/>
    </xf>
    <xf fontId="5" fillId="0" borderId="8" numFmtId="0" xfId="0" applyFont="1" applyBorder="1"/>
    <xf fontId="8" fillId="0" borderId="13" numFmtId="0" xfId="0" applyFont="1" applyBorder="1"/>
    <xf fontId="7" fillId="4" borderId="36" numFmtId="0" xfId="0" applyFont="1" applyFill="1" applyBorder="1" applyAlignment="1">
      <alignment horizontal="center" vertical="center" wrapText="1"/>
    </xf>
    <xf fontId="8" fillId="0" borderId="37" numFmtId="0" xfId="0" applyFont="1" applyBorder="1"/>
    <xf fontId="5" fillId="4" borderId="8" numFmtId="4" xfId="0" applyNumberFormat="1" applyFont="1" applyFill="1" applyBorder="1" applyAlignment="1">
      <alignment horizontal="center" vertical="center"/>
    </xf>
    <xf fontId="7" fillId="5" borderId="1" numFmtId="0" xfId="0" applyFont="1" applyFill="1" applyBorder="1" applyAlignment="1">
      <alignment horizontal="center" textRotation="90" vertical="center" wrapText="1"/>
    </xf>
    <xf fontId="8" fillId="0" borderId="18" numFmtId="0" xfId="0" applyFont="1" applyBorder="1"/>
    <xf fontId="5" fillId="4" borderId="8" numFmtId="4" xfId="0" applyNumberFormat="1" applyFont="1" applyFill="1" applyBorder="1" applyAlignment="1">
      <alignment horizontal="center" vertical="center" wrapText="1"/>
    </xf>
    <xf fontId="7" fillId="6" borderId="1" numFmtId="0" xfId="0" applyFont="1" applyFill="1" applyBorder="1" applyAlignment="1">
      <alignment horizontal="center" textRotation="90" vertical="center" wrapText="1"/>
    </xf>
    <xf fontId="7" fillId="8" borderId="8" numFmtId="0" xfId="0" applyFont="1" applyFill="1" applyBorder="1" applyAlignment="1">
      <alignment horizontal="center" textRotation="90" vertical="center" wrapText="1"/>
    </xf>
    <xf fontId="7" fillId="9" borderId="1" numFmtId="0" xfId="0" applyFont="1" applyFill="1" applyBorder="1" applyAlignment="1">
      <alignment horizontal="center" textRotation="90" vertical="center" wrapText="1"/>
    </xf>
    <xf fontId="7" fillId="10" borderId="1" numFmtId="0" xfId="0" applyFont="1" applyFill="1" applyBorder="1" applyAlignment="1">
      <alignment horizontal="center" textRotation="90" vertical="center" wrapText="1"/>
    </xf>
    <xf fontId="7" fillId="3" borderId="38" numFmtId="0" xfId="0" applyFont="1" applyFill="1" applyBorder="1" applyAlignment="1">
      <alignment horizontal="center" textRotation="90" vertical="center" wrapText="1"/>
    </xf>
    <xf fontId="7" fillId="3" borderId="23" numFmtId="0" xfId="0" applyFont="1" applyFill="1" applyBorder="1" applyAlignment="1">
      <alignment horizontal="center" textRotation="90" vertical="center" wrapText="1"/>
    </xf>
    <xf fontId="5" fillId="0" borderId="37" numFmtId="0" xfId="0" applyFont="1" applyBorder="1" applyAlignment="1">
      <alignment vertical="center" wrapText="1"/>
    </xf>
    <xf fontId="7" fillId="6" borderId="8" numFmtId="0" xfId="0" applyFont="1" applyFill="1" applyBorder="1" applyAlignment="1">
      <alignment horizontal="center" textRotation="90" vertical="center" wrapText="1"/>
    </xf>
  </cellXfs>
  <cellStyles count="1">
    <cellStyle name="Обычный" xfId="0" builtinId="0"/>
  </cellStyles>
  <dxfs count="4">
    <dxf>
      <font>
        <strike val="0"/>
        <u val="none"/>
        <vertAlign val="baseline"/>
        <sz val="18.000000"/>
        <name val="Arial"/>
        <scheme val="minor"/>
      </font>
      <alignment horizontal="center" indent="0" relativeIndent="0" shrinkToFit="0" textRotation="0" vertical="center" wrapText="0"/>
    </dxf>
    <dxf>
      <font>
        <strike val="0"/>
        <u val="none"/>
        <vertAlign val="baseline"/>
        <sz val="18.000000"/>
        <name val="Arial"/>
        <scheme val="minor"/>
      </font>
      <alignment horizontal="center" indent="0" relativeIndent="0" shrinkToFit="0" textRotation="0" vertical="bottom" wrapText="0"/>
    </dxf>
    <dxf>
      <font>
        <b val="0"/>
        <strike val="0"/>
        <u val="none"/>
        <vertAlign val="baseline"/>
        <sz val="14.000000"/>
        <name val="Arial"/>
        <scheme val="minor"/>
      </font>
      <alignment horizontal="center" indent="0" relativeIndent="0" shrinkToFit="0" textRotation="0" vertical="center" wrapText="0"/>
    </dxf>
    <dxf>
      <font>
        <b val="0"/>
        <strike val="0"/>
        <u val="none"/>
        <vertAlign val="baseline"/>
        <sz val="14.000000"/>
        <name val="Arial"/>
        <scheme val="minor"/>
      </font>
      <alignment horizontal="center" indent="0" relativeIndent="0" shrinkToFit="0" textRotation="0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_rels/chart7.xml.rels><?xml version="1.0" encoding="UTF-8" standalone="yes"?><Relationships xmlns="http://schemas.openxmlformats.org/package/2006/relationships"></Relationships>
</file>

<file path=xl/charts/_rels/chart8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00000"/>
          <c:y val="0.067718"/>
          <c:w val="0.863647"/>
          <c:h val="0.882282"/>
        </c:manualLayout>
      </c:layout>
      <c:radarChart>
        <c:radarStyle val="marker"/>
        <c:varyColors val="1"/>
        <c:ser>
          <c:idx val="0"/>
          <c:order val="0"/>
          <c:tx>
            <c:strRef>
              <c:f>'E1-&gt;E2'!$L$17</c:f>
              <c:strCache>
                <c:ptCount val="1"/>
                <c:pt idx="0">
                  <c:v>Сейчас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'E1-&gt;E2'!$K$18:$K$24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'E1-&gt;E2'!$L$18:$L$24</c:f>
              <c:numCache>
                <c:formatCode>#,##0.00</c:formatCode>
                <c:ptCount val="7"/>
                <c:pt idx="0">
                  <c:v>0.4444444444444444</c:v>
                </c:pt>
                <c:pt idx="1">
                  <c:v>1.6</c:v>
                </c:pt>
                <c:pt idx="2">
                  <c:v>2</c:v>
                </c:pt>
                <c:pt idx="3">
                  <c:v>1.4</c:v>
                </c:pt>
                <c:pt idx="4">
                  <c:v>1.3333333333333333</c:v>
                </c:pt>
                <c:pt idx="5">
                  <c:v>1</c:v>
                </c:pt>
                <c:pt idx="6">
                  <c:v>1.3333333333333333</c:v>
                </c:pt>
              </c:numCache>
            </c:numRef>
          </c:val>
        </c:ser>
        <c:ser>
          <c:idx val="1"/>
          <c:order val="1"/>
          <c:tx>
            <c:strRef>
              <c:f>'E1-&gt;E2'!$M$17</c:f>
              <c:strCache>
                <c:ptCount val="1"/>
                <c:pt idx="0">
                  <c:v>Ожидания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'E1-&gt;E2'!$K$18:$K$24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'E1-&gt;E2'!$M$18:$M$24</c:f>
              <c:numCache>
                <c:formatCode>#,##0.00</c:formatCode>
                <c:ptCount val="7"/>
                <c:pt idx="0">
                  <c:v>1.6666666666666665</c:v>
                </c:pt>
                <c:pt idx="1">
                  <c:v>1.6400000000000001</c:v>
                </c:pt>
                <c:pt idx="2">
                  <c:v>2</c:v>
                </c:pt>
                <c:pt idx="3">
                  <c:v>1.6400000000000001</c:v>
                </c:pt>
                <c:pt idx="4">
                  <c:v>1.7999999999999998</c:v>
                </c:pt>
                <c:pt idx="5">
                  <c:v>1.4</c:v>
                </c:pt>
                <c:pt idx="6">
                  <c:v>1.7999999999999998</c:v>
                </c:pt>
              </c:numCache>
            </c:numRef>
          </c:val>
        </c:ser>
        <c:ser>
          <c:idx val="2"/>
          <c:order val="2"/>
          <c:tx>
            <c:strRef>
              <c:f>'E1-&gt;E2'!$N$17</c:f>
              <c:strCache>
                <c:ptCount val="1"/>
                <c:pt idx="0">
                  <c:v>E1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'E1-&gt;E2'!$K$18:$K$24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'E1-&gt;E2'!$N$18:$N$24</c:f>
              <c:numCache>
                <c:formatCode>#,##0.00</c:formatCode>
                <c:ptCount val="7"/>
                <c:pt idx="0">
                  <c:v>0.8888888888888888</c:v>
                </c:pt>
                <c:pt idx="1">
                  <c:v>0.8</c:v>
                </c:pt>
                <c:pt idx="2">
                  <c:v>2</c:v>
                </c:pt>
                <c:pt idx="3">
                  <c:v>0.8</c:v>
                </c:pt>
                <c:pt idx="4">
                  <c:v>1.3333333333333333</c:v>
                </c:pt>
                <c:pt idx="5">
                  <c:v>0</c:v>
                </c:pt>
                <c:pt idx="6">
                  <c:v>1.3333333333333333</c:v>
                </c:pt>
              </c:numCache>
            </c:numRef>
          </c:val>
        </c:ser>
        <c:ser>
          <c:idx val="3"/>
          <c:order val="3"/>
          <c:tx>
            <c:strRef>
              <c:f>'E1-&gt;E2'!$O$17</c:f>
              <c:strCache>
                <c:ptCount val="1"/>
                <c:pt idx="0">
                  <c:v>E2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'E1-&gt;E2'!$K$18:$K$24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'E1-&gt;E2'!$O$18:$O$24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027439632"/>
        <c:axId val="1172344198"/>
      </c:radarChart>
      <c:catAx>
        <c:axId val="202743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72344198"/>
        <c:crosses val="autoZero"/>
        <c:auto val="1"/>
        <c:lblAlgn val="ctr"/>
        <c:lblOffset val="100"/>
        <c:noMultiLvlLbl val="1"/>
      </c:catAx>
      <c:valAx>
        <c:axId val="117234419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2743963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00000"/>
          <c:y val="0.067718"/>
          <c:w val="0.863647"/>
          <c:h val="0.882282"/>
        </c:manualLayout>
      </c:layout>
      <c:radarChart>
        <c:radarStyle val="marker"/>
        <c:varyColors val="1"/>
        <c:ser>
          <c:idx val="0"/>
          <c:order val="0"/>
          <c:tx>
            <c:strRef>
              <c:f>'E2-&gt;E3'!$L$15</c:f>
              <c:strCache>
                <c:ptCount val="1"/>
                <c:pt idx="0">
                  <c:v>Сейчас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'E2-&gt;E3'!$K$16:$K$22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'E2-&gt;E3'!$L$16:$L$22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'E2-&gt;E3'!$M$15</c:f>
              <c:strCache>
                <c:ptCount val="1"/>
                <c:pt idx="0">
                  <c:v>Ожидания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'E2-&gt;E3'!$K$16:$K$22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'E2-&gt;E3'!$M$16:$M$22</c:f>
              <c:numCache>
                <c:formatCode>#,##0.00</c:formatCode>
                <c:ptCount val="7"/>
                <c:pt idx="0">
                  <c:v>1.7333333333333334</c:v>
                </c:pt>
                <c:pt idx="1">
                  <c:v>1.5499999999999998</c:v>
                </c:pt>
                <c:pt idx="2">
                  <c:v>1.7599999999999998</c:v>
                </c:pt>
                <c:pt idx="3">
                  <c:v>1.7</c:v>
                </c:pt>
                <c:pt idx="4">
                  <c:v>1.5499999999999998</c:v>
                </c:pt>
                <c:pt idx="5">
                  <c:v>1.52</c:v>
                </c:pt>
                <c:pt idx="6">
                  <c:v>1.7999999999999998</c:v>
                </c:pt>
              </c:numCache>
            </c:numRef>
          </c:val>
        </c:ser>
        <c:ser>
          <c:idx val="2"/>
          <c:order val="2"/>
          <c:tx>
            <c:strRef>
              <c:f>'E2-&gt;E3'!$N$15</c:f>
              <c:strCache>
                <c:ptCount val="1"/>
                <c:pt idx="0">
                  <c:v>E2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'E2-&gt;E3'!$K$16:$K$22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'E2-&gt;E3'!$N$16:$N$22</c:f>
              <c:numCache>
                <c:formatCode>#,##0.00</c:formatCode>
                <c:ptCount val="7"/>
                <c:pt idx="0">
                  <c:v>1.1111111111111112</c:v>
                </c:pt>
                <c:pt idx="1">
                  <c:v>0.5</c:v>
                </c:pt>
                <c:pt idx="2">
                  <c:v>1.2</c:v>
                </c:pt>
                <c:pt idx="3">
                  <c:v>1</c:v>
                </c:pt>
                <c:pt idx="4">
                  <c:v>0.5</c:v>
                </c:pt>
                <c:pt idx="5">
                  <c:v>0.4</c:v>
                </c:pt>
                <c:pt idx="6">
                  <c:v>1.3333333333333333</c:v>
                </c:pt>
              </c:numCache>
            </c:numRef>
          </c:val>
        </c:ser>
        <c:ser>
          <c:idx val="3"/>
          <c:order val="3"/>
          <c:tx>
            <c:strRef>
              <c:f>'E2-&gt;E3'!$O$15</c:f>
              <c:strCache>
                <c:ptCount val="1"/>
                <c:pt idx="0">
                  <c:v>E3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'E2-&gt;E3'!$K$16:$K$22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'E2-&gt;E3'!$O$16:$O$22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489779897"/>
        <c:axId val="1031063056"/>
      </c:radarChart>
      <c:catAx>
        <c:axId val="1489779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31063056"/>
        <c:crosses val="autoZero"/>
        <c:auto val="1"/>
        <c:lblAlgn val="ctr"/>
        <c:lblOffset val="100"/>
        <c:noMultiLvlLbl val="1"/>
      </c:catAx>
      <c:valAx>
        <c:axId val="103106305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89779897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11148060" y="0"/>
      <a:ext cx="5878828" cy="4533898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00000"/>
          <c:y val="0.067718"/>
          <c:w val="0.863647"/>
          <c:h val="0.882282"/>
        </c:manualLayout>
      </c:layout>
      <c:radarChart>
        <c:radarStyle val="marker"/>
        <c:varyColors val="1"/>
        <c:ser>
          <c:idx val="0"/>
          <c:order val="0"/>
          <c:tx>
            <c:strRef>
              <c:f>'E3-&gt;E4'!$L$13</c:f>
              <c:strCache>
                <c:ptCount val="1"/>
                <c:pt idx="0">
                  <c:v>Сейчас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'E3-&gt;E4'!$K$14:$K$20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'E3-&gt;E4'!$L$14:$L$20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'E3-&gt;E4'!$M$13</c:f>
              <c:strCache>
                <c:ptCount val="1"/>
                <c:pt idx="0">
                  <c:v>Ожидания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'E3-&gt;E4'!$K$14:$K$20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'E3-&gt;E4'!$M$14:$M$20</c:f>
              <c:numCache>
                <c:formatCode>#,##0.00</c:formatCode>
                <c:ptCount val="7"/>
                <c:pt idx="0">
                  <c:v>1.6181818181818182</c:v>
                </c:pt>
                <c:pt idx="1">
                  <c:v>1.7857142857142856</c:v>
                </c:pt>
                <c:pt idx="2">
                  <c:v>2</c:v>
                </c:pt>
                <c:pt idx="3">
                  <c:v>1.7599999999999998</c:v>
                </c:pt>
                <c:pt idx="4">
                  <c:v>1.7</c:v>
                </c:pt>
                <c:pt idx="5">
                  <c:v>1.7</c:v>
                </c:pt>
                <c:pt idx="6">
                  <c:v>1.52</c:v>
                </c:pt>
              </c:numCache>
            </c:numRef>
          </c:val>
        </c:ser>
        <c:ser>
          <c:idx val="2"/>
          <c:order val="2"/>
          <c:tx>
            <c:strRef>
              <c:f>'E3-&gt;E4'!$N$13</c:f>
              <c:strCache>
                <c:ptCount val="1"/>
                <c:pt idx="0">
                  <c:v>E3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'E3-&gt;E4'!$K$14:$K$20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'E3-&gt;E4'!$N$14:$N$20</c:f>
              <c:numCache>
                <c:formatCode>#,##0.00</c:formatCode>
                <c:ptCount val="7"/>
                <c:pt idx="0">
                  <c:v>0.7272727272727273</c:v>
                </c:pt>
                <c:pt idx="1">
                  <c:v>1.2857142857142858</c:v>
                </c:pt>
                <c:pt idx="2">
                  <c:v>2</c:v>
                </c:pt>
                <c:pt idx="3">
                  <c:v>1.2</c:v>
                </c:pt>
                <c:pt idx="4">
                  <c:v>1</c:v>
                </c:pt>
                <c:pt idx="5">
                  <c:v>1</c:v>
                </c:pt>
                <c:pt idx="6">
                  <c:v>0.4</c:v>
                </c:pt>
              </c:numCache>
            </c:numRef>
          </c:val>
        </c:ser>
        <c:ser>
          <c:idx val="3"/>
          <c:order val="3"/>
          <c:tx>
            <c:strRef>
              <c:f>'E3-&gt;E4'!$O$13</c:f>
              <c:strCache>
                <c:ptCount val="1"/>
                <c:pt idx="0">
                  <c:v>E4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'E3-&gt;E4'!$K$14:$K$20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'E3-&gt;E4'!$O$14:$O$20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030566867"/>
        <c:axId val="438419333"/>
      </c:radarChart>
      <c:catAx>
        <c:axId val="2030566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38419333"/>
        <c:crosses val="autoZero"/>
        <c:auto val="1"/>
        <c:lblAlgn val="ctr"/>
        <c:lblOffset val="100"/>
        <c:noMultiLvlLbl val="1"/>
      </c:catAx>
      <c:valAx>
        <c:axId val="43841933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30566867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00000"/>
          <c:y val="0.067718"/>
          <c:w val="0.863647"/>
          <c:h val="0.882282"/>
        </c:manualLayout>
      </c:layout>
      <c:radarChart>
        <c:radarStyle val="marker"/>
        <c:varyColors val="1"/>
        <c:ser>
          <c:idx val="0"/>
          <c:order val="0"/>
          <c:tx>
            <c:strRef>
              <c:f>'E4-&gt;E5'!$L$14</c:f>
              <c:strCache>
                <c:ptCount val="1"/>
                <c:pt idx="0">
                  <c:v>Сейчас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'E4-&gt;E5'!$K$15:$K$21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'E4-&gt;E5'!$L$15:$L$21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'E4-&gt;E5'!$M$14</c:f>
              <c:strCache>
                <c:ptCount val="1"/>
                <c:pt idx="0">
                  <c:v>Ожидания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'E4-&gt;E5'!$K$15:$K$21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'E4-&gt;E5'!$M$15:$M$21</c:f>
              <c:numCache>
                <c:formatCode>#,##0.00</c:formatCode>
                <c:ptCount val="7"/>
                <c:pt idx="0">
                  <c:v>1.8199999999999998</c:v>
                </c:pt>
                <c:pt idx="1">
                  <c:v>1.7</c:v>
                </c:pt>
                <c:pt idx="2">
                  <c:v>1.6</c:v>
                </c:pt>
                <c:pt idx="3">
                  <c:v>1.7</c:v>
                </c:pt>
                <c:pt idx="4">
                  <c:v>1.7</c:v>
                </c:pt>
                <c:pt idx="5">
                  <c:v>1.8285714285714285</c:v>
                </c:pt>
                <c:pt idx="6">
                  <c:v>1.775</c:v>
                </c:pt>
              </c:numCache>
            </c:numRef>
          </c:val>
        </c:ser>
        <c:ser>
          <c:idx val="2"/>
          <c:order val="2"/>
          <c:tx>
            <c:strRef>
              <c:f>'E4-&gt;E5'!$N$14</c:f>
              <c:strCache>
                <c:ptCount val="1"/>
                <c:pt idx="0">
                  <c:v>E4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'E4-&gt;E5'!$K$15:$K$21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'E4-&gt;E5'!$N$15:$N$21</c:f>
              <c:numCache>
                <c:formatCode>#,##0.00</c:formatCode>
                <c:ptCount val="7"/>
                <c:pt idx="0">
                  <c:v>1.4</c:v>
                </c:pt>
                <c:pt idx="1">
                  <c:v>1</c:v>
                </c:pt>
                <c:pt idx="2">
                  <c:v>0.6666666666666666</c:v>
                </c:pt>
                <c:pt idx="3">
                  <c:v>1</c:v>
                </c:pt>
                <c:pt idx="4">
                  <c:v>1</c:v>
                </c:pt>
                <c:pt idx="5">
                  <c:v>1.4285714285714286</c:v>
                </c:pt>
                <c:pt idx="6">
                  <c:v>1.25</c:v>
                </c:pt>
              </c:numCache>
            </c:numRef>
          </c:val>
        </c:ser>
        <c:ser>
          <c:idx val="3"/>
          <c:order val="3"/>
          <c:tx>
            <c:strRef>
              <c:f>'E4-&gt;E5'!$O$14</c:f>
              <c:strCache>
                <c:ptCount val="1"/>
                <c:pt idx="0">
                  <c:v>E5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'E4-&gt;E5'!$K$15:$K$21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'E4-&gt;E5'!$O$15:$O$21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148526334"/>
        <c:axId val="2112711453"/>
      </c:radarChart>
      <c:catAx>
        <c:axId val="1148526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112711453"/>
        <c:crosses val="autoZero"/>
        <c:auto val="1"/>
        <c:lblAlgn val="ctr"/>
        <c:lblOffset val="100"/>
        <c:noMultiLvlLbl val="1"/>
      </c:catAx>
      <c:valAx>
        <c:axId val="211271145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4852633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00000"/>
          <c:y val="0.067718"/>
          <c:w val="0.863647"/>
          <c:h val="0.882282"/>
        </c:manualLayout>
      </c:layout>
      <c:radarChart>
        <c:radarStyle val="marker"/>
        <c:varyColors val="1"/>
        <c:ser>
          <c:idx val="0"/>
          <c:order val="0"/>
          <c:tx>
            <c:strRef>
              <c:f>'E5-&gt;E6'!$M$22</c:f>
              <c:strCache>
                <c:ptCount val="1"/>
                <c:pt idx="0">
                  <c:v>Сейчас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'E5-&gt;E6'!$L$23:$L$29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'E5-&gt;E6'!$M$23:$M$29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'E5-&gt;E6'!$N$22</c:f>
              <c:strCache>
                <c:ptCount val="1"/>
                <c:pt idx="0">
                  <c:v>Ожидания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'E5-&gt;E6'!$L$23:$L$29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'E5-&gt;E6'!$N$23:$N$29</c:f>
              <c:numCache>
                <c:formatCode>#,##0.00</c:formatCode>
                <c:ptCount val="7"/>
                <c:pt idx="0">
                  <c:v>1.625</c:v>
                </c:pt>
                <c:pt idx="1">
                  <c:v>1.7599999999999998</c:v>
                </c:pt>
                <c:pt idx="2">
                  <c:v>1.6</c:v>
                </c:pt>
                <c:pt idx="3">
                  <c:v>2</c:v>
                </c:pt>
                <c:pt idx="4">
                  <c:v>1.85</c:v>
                </c:pt>
                <c:pt idx="5">
                  <c:v>1.7999999999999998</c:v>
                </c:pt>
                <c:pt idx="6">
                  <c:v>1.7</c:v>
                </c:pt>
              </c:numCache>
            </c:numRef>
          </c:val>
        </c:ser>
        <c:ser>
          <c:idx val="2"/>
          <c:order val="2"/>
          <c:tx>
            <c:strRef>
              <c:f>'E5-&gt;E6'!$O$22</c:f>
              <c:strCache>
                <c:ptCount val="1"/>
                <c:pt idx="0">
                  <c:v>E5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'E5-&gt;E6'!$L$23:$L$29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'E5-&gt;E6'!$O$23:$O$29</c:f>
              <c:numCache>
                <c:formatCode>#,##0.00</c:formatCode>
                <c:ptCount val="7"/>
                <c:pt idx="0">
                  <c:v>0.75</c:v>
                </c:pt>
                <c:pt idx="1">
                  <c:v>1.2</c:v>
                </c:pt>
                <c:pt idx="2">
                  <c:v>0.6666666666666666</c:v>
                </c:pt>
                <c:pt idx="3">
                  <c:v>2</c:v>
                </c:pt>
                <c:pt idx="4">
                  <c:v>1.5</c:v>
                </c:pt>
                <c:pt idx="5">
                  <c:v>1.3333333333333333</c:v>
                </c:pt>
                <c:pt idx="6">
                  <c:v>1</c:v>
                </c:pt>
              </c:numCache>
            </c:numRef>
          </c:val>
        </c:ser>
        <c:ser>
          <c:idx val="3"/>
          <c:order val="3"/>
          <c:tx>
            <c:strRef>
              <c:f>'E5-&gt;E6'!$P$22</c:f>
              <c:strCache>
                <c:ptCount val="1"/>
                <c:pt idx="0">
                  <c:v>E6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'E5-&gt;E6'!$L$23:$L$29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'E5-&gt;E6'!$P$23:$P$29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345934862"/>
        <c:axId val="1283788534"/>
      </c:radarChart>
      <c:catAx>
        <c:axId val="1345934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83788534"/>
        <c:crosses val="autoZero"/>
        <c:auto val="1"/>
        <c:lblAlgn val="ctr"/>
        <c:lblOffset val="100"/>
        <c:noMultiLvlLbl val="1"/>
      </c:catAx>
      <c:valAx>
        <c:axId val="128378853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4593486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00000"/>
          <c:y val="0.067718"/>
          <c:w val="0.863647"/>
          <c:h val="0.882282"/>
        </c:manualLayout>
      </c:layout>
      <c:radarChart>
        <c:radarStyle val="marker"/>
        <c:varyColors val="1"/>
        <c:ser>
          <c:idx val="0"/>
          <c:order val="0"/>
          <c:tx>
            <c:strRef>
              <c:f>'E6-&gt;E7'!$L$17</c:f>
              <c:strCache>
                <c:ptCount val="1"/>
                <c:pt idx="0">
                  <c:v>Сейчас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'E6-&gt;E7'!$K$18:$K$24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'E6-&gt;E7'!$L$18:$L$24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'E6-&gt;E7'!$M$17</c:f>
              <c:strCache>
                <c:ptCount val="1"/>
                <c:pt idx="0">
                  <c:v>Ожидания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'E6-&gt;E7'!$K$18:$K$24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'E6-&gt;E7'!$M$18:$M$24</c:f>
              <c:numCache>
                <c:formatCode>#,##0.00</c:formatCode>
                <c:ptCount val="7"/>
                <c:pt idx="0">
                  <c:v>1.8285714285714285</c:v>
                </c:pt>
                <c:pt idx="1">
                  <c:v>1.7428571428571429</c:v>
                </c:pt>
                <c:pt idx="2">
                  <c:v>1.7</c:v>
                </c:pt>
                <c:pt idx="3">
                  <c:v>2</c:v>
                </c:pt>
                <c:pt idx="4">
                  <c:v>2</c:v>
                </c:pt>
                <c:pt idx="5">
                  <c:v>1.5499999999999998</c:v>
                </c:pt>
                <c:pt idx="6">
                  <c:v>1.7999999999999998</c:v>
                </c:pt>
              </c:numCache>
            </c:numRef>
          </c:val>
        </c:ser>
        <c:ser>
          <c:idx val="2"/>
          <c:order val="2"/>
          <c:tx>
            <c:strRef>
              <c:f>'E6-&gt;E7'!$N$17</c:f>
              <c:strCache>
                <c:ptCount val="1"/>
                <c:pt idx="0">
                  <c:v>E6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'E6-&gt;E7'!$K$18:$K$24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'E6-&gt;E7'!$N$18:$N$24</c:f>
              <c:numCache>
                <c:formatCode>#,##0.00</c:formatCode>
                <c:ptCount val="7"/>
                <c:pt idx="0">
                  <c:v>1.4285714285714286</c:v>
                </c:pt>
                <c:pt idx="1">
                  <c:v>1.1428571428571428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0.5</c:v>
                </c:pt>
                <c:pt idx="6">
                  <c:v>1.3333333333333333</c:v>
                </c:pt>
              </c:numCache>
            </c:numRef>
          </c:val>
        </c:ser>
        <c:ser>
          <c:idx val="3"/>
          <c:order val="3"/>
          <c:tx>
            <c:strRef>
              <c:f>'E6-&gt;E7'!$O$17</c:f>
              <c:strCache>
                <c:ptCount val="1"/>
                <c:pt idx="0">
                  <c:v>E7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'E6-&gt;E7'!$K$18:$K$24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'E6-&gt;E7'!$O$18:$O$24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92329946"/>
        <c:axId val="2010235766"/>
      </c:radarChart>
      <c:catAx>
        <c:axId val="192329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10235766"/>
        <c:crosses val="autoZero"/>
        <c:auto val="1"/>
        <c:lblAlgn val="ctr"/>
        <c:lblOffset val="100"/>
        <c:noMultiLvlLbl val="1"/>
      </c:catAx>
      <c:valAx>
        <c:axId val="201023576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232994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00000"/>
          <c:y val="0.067718"/>
          <c:w val="0.863647"/>
          <c:h val="0.882282"/>
        </c:manualLayout>
      </c:layout>
      <c:radarChart>
        <c:radarStyle val="marker"/>
        <c:varyColors val="1"/>
        <c:ser>
          <c:idx val="0"/>
          <c:order val="0"/>
          <c:tx>
            <c:strRef>
              <c:f>'E7'!$K$15</c:f>
              <c:strCache>
                <c:ptCount val="1"/>
                <c:pt idx="0">
                  <c:v>Сейчас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'E7'!$J$16:$J$22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'E7'!$K$16:$K$22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'E7'!$L$15</c:f>
              <c:strCache>
                <c:ptCount val="1"/>
                <c:pt idx="0">
                  <c:v>Ожидания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'E7'!$J$16:$J$22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'E7'!$L$16:$L$22</c:f>
              <c:numCache>
                <c:formatCode>General</c:formatCode>
                <c:ptCount val="7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</c:numCache>
            </c:numRef>
          </c:val>
        </c:ser>
        <c:ser>
          <c:idx val="2"/>
          <c:order val="2"/>
          <c:tx>
            <c:strRef>
              <c:f>'E7'!$M$15</c:f>
              <c:strCache>
                <c:ptCount val="1"/>
                <c:pt idx="0">
                  <c:v>Идеал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'E7'!$J$16:$J$22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'E7'!$M$16:$M$22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579297044"/>
        <c:axId val="700688856"/>
      </c:radarChart>
      <c:catAx>
        <c:axId val="1579297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00688856"/>
        <c:crosses val="autoZero"/>
        <c:auto val="1"/>
        <c:lblAlgn val="ctr"/>
        <c:lblOffset val="100"/>
        <c:noMultiLvlLbl val="1"/>
      </c:catAx>
      <c:valAx>
        <c:axId val="70068885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792970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1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000000"/>
          <c:y val="0.067718"/>
          <c:w val="0.863647"/>
          <c:h val="0.882282"/>
        </c:manualLayout>
      </c:layout>
      <c:radarChart>
        <c:radarStyle val="marker"/>
        <c:varyColors val="1"/>
        <c:ser>
          <c:idx val="0"/>
          <c:order val="0"/>
          <c:tx>
            <c:strRef>
              <c:f>'E8'!$J$12</c:f>
              <c:strCache>
                <c:ptCount val="1"/>
                <c:pt idx="0">
                  <c:v>Сейчас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'E8'!$I$13:$I$19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'E8'!$J$13:$J$19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'E8'!$K$12</c:f>
              <c:strCache>
                <c:ptCount val="1"/>
                <c:pt idx="0">
                  <c:v>Ожидания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'E8'!$I$13:$I$19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'E8'!$K$13:$K$19</c:f>
              <c:numCache>
                <c:formatCode>General</c:formatCode>
                <c:ptCount val="7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</c:numCache>
            </c:numRef>
          </c:val>
        </c:ser>
        <c:ser>
          <c:idx val="2"/>
          <c:order val="2"/>
          <c:tx>
            <c:strRef>
              <c:f>'E8'!$L$12</c:f>
              <c:strCache>
                <c:ptCount val="1"/>
                <c:pt idx="0">
                  <c:v>Идеал</c:v>
                </c:pt>
              </c:strCache>
            </c:strRef>
          </c:tx>
          <c:spPr bwMode="auto">
            <a:prstGeom prst="rect">
              <a:avLst/>
            </a:prstGeom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'E8'!$I$13:$I$19</c:f>
              <c:strCache>
                <c:ptCount val="7"/>
                <c:pt idx="0">
                  <c:v>Экспертность</c:v>
                </c:pt>
                <c:pt idx="1">
                  <c:v>Инженерная культура</c:v>
                </c:pt>
                <c:pt idx="2">
                  <c:v>Автономность</c:v>
                </c:pt>
                <c:pt idx="3">
                  <c:v>Коммуникация</c:v>
                </c:pt>
                <c:pt idx="4">
                  <c:v>Agile Mindset</c:v>
                </c:pt>
                <c:pt idx="5">
                  <c:v>Ориентация на бизнес</c:v>
                </c:pt>
                <c:pt idx="6">
                  <c:v>Обучения себя и других</c:v>
                </c:pt>
              </c:strCache>
            </c:strRef>
          </c:cat>
          <c:val>
            <c:numRef>
              <c:f>'E8'!$L$13:$L$19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527101705"/>
        <c:axId val="847263174"/>
      </c:radarChart>
      <c:catAx>
        <c:axId val="527101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47263174"/>
        <c:crosses val="autoZero"/>
        <c:auto val="1"/>
        <c:lblAlgn val="ctr"/>
        <c:lblOffset val="100"/>
        <c:noMultiLvlLbl val="1"/>
      </c:catAx>
      <c:valAx>
        <c:axId val="84726317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27101705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10</xdr:col>
      <xdr:colOff>1</xdr:colOff>
      <xdr:row>0</xdr:row>
      <xdr:rowOff>0</xdr:rowOff>
    </xdr:from>
    <xdr:ext cx="6338454" cy="4849089"/>
    <xdr:graphicFrame>
      <xdr:nvGraphicFramePr>
        <xdr:cNvPr id="2" name="Chart 1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10</xdr:col>
      <xdr:colOff>15240</xdr:colOff>
      <xdr:row>0</xdr:row>
      <xdr:rowOff>0</xdr:rowOff>
    </xdr:from>
    <xdr:ext cx="5878828" cy="4533898"/>
    <xdr:graphicFrame>
      <xdr:nvGraphicFramePr>
        <xdr:cNvPr id="2" name="Chart 2" title="Диаграмма"/>
        <xdr:cNvGraphicFramePr>
          <a:graphicFrameLocks xmlns:a="http://schemas.openxmlformats.org/drawingml/2006/main"/>
        </xdr:cNvGraphicFramePr>
      </xdr:nvGraphicFramePr>
      <xdr:xfrm>
        <a:off x="11148060" y="0"/>
        <a:ext cx="5878828" cy="453389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952500</xdr:colOff>
      <xdr:row>0</xdr:row>
      <xdr:rowOff>0</xdr:rowOff>
    </xdr:from>
    <xdr:ext cx="6743700" cy="4933950"/>
    <xdr:graphicFrame>
      <xdr:nvGraphicFramePr>
        <xdr:cNvPr id="3" name="Chart 3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476250</xdr:colOff>
      <xdr:row>0</xdr:row>
      <xdr:rowOff>0</xdr:rowOff>
    </xdr:from>
    <xdr:ext cx="6600825" cy="5133975"/>
    <xdr:graphicFrame>
      <xdr:nvGraphicFramePr>
        <xdr:cNvPr id="4" name="Chart 4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10</xdr:col>
      <xdr:colOff>41563</xdr:colOff>
      <xdr:row>0</xdr:row>
      <xdr:rowOff>138546</xdr:rowOff>
    </xdr:from>
    <xdr:ext cx="6600825" cy="5133975"/>
    <xdr:graphicFrame>
      <xdr:nvGraphicFramePr>
        <xdr:cNvPr id="5" name="Chart 5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714377</xdr:colOff>
      <xdr:row>4</xdr:row>
      <xdr:rowOff>49360</xdr:rowOff>
    </xdr:from>
    <xdr:ext cx="6122841" cy="5104532"/>
    <xdr:graphicFrame>
      <xdr:nvGraphicFramePr>
        <xdr:cNvPr id="6" name="Chart 6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304800</xdr:colOff>
      <xdr:row>0</xdr:row>
      <xdr:rowOff>180975</xdr:rowOff>
    </xdr:from>
    <xdr:ext cx="6600825" cy="5133975"/>
    <xdr:graphicFrame>
      <xdr:nvGraphicFramePr>
        <xdr:cNvPr id="7" name="Chart 7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219075</xdr:colOff>
      <xdr:row>0</xdr:row>
      <xdr:rowOff>180975</xdr:rowOff>
    </xdr:from>
    <xdr:ext cx="6600825" cy="5133975"/>
    <xdr:graphicFrame>
      <xdr:nvGraphicFramePr>
        <xdr:cNvPr id="8" name="Chart 8" title="Диаграмма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Таблица1" ref="A1:B9">
  <autoFilter ref="A1:B9"/>
  <tableColumns count="2">
    <tableColumn id="1" name="Код уровня" dataDxfId="0"/>
    <tableColumn id="2" name="Грейд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Таблица2" ref="E1:F4">
  <autoFilter ref="E1:F4"/>
  <tableColumns count="2">
    <tableColumn id="1" name="Оценка" dataDxfId="2"/>
    <tableColumn id="2" name="Описание" dataDxfId="3"/>
  </tableColumns>
  <tableStyleInfo name="TableStyleLight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5" activeCellId="0" sqref="D15"/>
    </sheetView>
  </sheetViews>
  <sheetFormatPr defaultRowHeight="12.75"/>
  <cols>
    <col customWidth="1" min="1" max="1" style="1" width="20.5546875"/>
    <col customWidth="1" min="2" max="2" style="2" width="30.21875"/>
    <col customWidth="1" min="3" max="3" width="4.33203125"/>
    <col customWidth="1" min="4" max="4" width="4.109375"/>
    <col customWidth="1" min="5" max="5" width="16.44140625"/>
    <col customWidth="1" min="6" max="6" width="44.88671875"/>
  </cols>
  <sheetData>
    <row r="1" ht="16.5">
      <c r="A1" s="3" t="s">
        <v>0</v>
      </c>
      <c r="B1" s="4" t="s">
        <v>1</v>
      </c>
      <c r="E1" s="5" t="s">
        <v>2</v>
      </c>
      <c r="F1" s="5" t="s">
        <v>3</v>
      </c>
    </row>
    <row r="2" ht="21.75">
      <c r="A2" s="6" t="s">
        <v>4</v>
      </c>
      <c r="B2" s="7" t="s">
        <v>5</v>
      </c>
      <c r="E2" s="5">
        <v>0</v>
      </c>
      <c r="F2" s="5" t="s">
        <v>6</v>
      </c>
    </row>
    <row r="3" ht="21.75">
      <c r="A3" s="6" t="s">
        <v>7</v>
      </c>
      <c r="B3" s="7" t="s">
        <v>8</v>
      </c>
      <c r="E3" s="5">
        <v>1</v>
      </c>
      <c r="F3" s="5" t="s">
        <v>9</v>
      </c>
    </row>
    <row r="4" ht="21.75">
      <c r="A4" s="6" t="s">
        <v>10</v>
      </c>
      <c r="B4" s="7" t="s">
        <v>11</v>
      </c>
      <c r="E4" s="5">
        <v>2</v>
      </c>
      <c r="F4" s="5" t="s">
        <v>12</v>
      </c>
    </row>
    <row r="5" ht="21.75">
      <c r="A5" s="6" t="s">
        <v>13</v>
      </c>
      <c r="B5" s="7" t="s">
        <v>14</v>
      </c>
    </row>
    <row r="6" ht="22.800000000000001" customHeight="1">
      <c r="A6" s="6" t="s">
        <v>15</v>
      </c>
      <c r="B6" s="7" t="s">
        <v>16</v>
      </c>
      <c r="F6" s="8" t="s">
        <v>17</v>
      </c>
    </row>
    <row r="7" ht="21.75">
      <c r="A7" s="6" t="s">
        <v>18</v>
      </c>
      <c r="B7" s="7" t="s">
        <v>19</v>
      </c>
      <c r="F7" s="8"/>
    </row>
    <row r="8" ht="21.75">
      <c r="A8" s="6" t="s">
        <v>20</v>
      </c>
      <c r="B8" s="7" t="s">
        <v>21</v>
      </c>
      <c r="F8" s="8"/>
    </row>
    <row r="9" ht="21.75">
      <c r="A9" s="6" t="s">
        <v>22</v>
      </c>
      <c r="B9" s="7" t="s">
        <v>23</v>
      </c>
      <c r="F9" s="8"/>
    </row>
    <row r="10" ht="13.199999999999999" customHeight="1">
      <c r="F10" s="8"/>
    </row>
    <row r="11" ht="13.199999999999999" customHeight="1">
      <c r="F11" s="8"/>
    </row>
    <row r="12" ht="13.199999999999999" customHeight="1">
      <c r="F12" s="8"/>
    </row>
    <row r="13" ht="13.199999999999999" customHeight="1">
      <c r="F13" s="8"/>
    </row>
    <row r="14" ht="13.199999999999999" customHeight="1">
      <c r="F14" s="8"/>
    </row>
    <row r="15" ht="13.199999999999999" customHeight="1">
      <c r="F15" s="8"/>
    </row>
    <row r="16" ht="13.199999999999999" customHeight="1">
      <c r="F16" s="8"/>
    </row>
    <row r="17" ht="13.199999999999999" customHeight="1">
      <c r="F17" s="8"/>
    </row>
    <row r="18" ht="13.199999999999999" customHeight="1">
      <c r="F18" s="8"/>
    </row>
    <row r="19" ht="13.199999999999999" customHeight="1">
      <c r="F19" s="8"/>
    </row>
    <row r="20" ht="13.199999999999999" customHeight="1">
      <c r="F20" s="8"/>
    </row>
    <row r="21" ht="13.199999999999999" customHeight="1">
      <c r="F21" s="8"/>
    </row>
    <row r="22">
      <c r="F22" s="8"/>
    </row>
  </sheetData>
  <mergeCells count="1">
    <mergeCell ref="F6:F2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8" zoomScale="100" workbookViewId="0">
      <selection activeCell="C4" activeCellId="0" sqref="C4"/>
    </sheetView>
  </sheetViews>
  <sheetFormatPr defaultColWidth="12.6640625" defaultRowHeight="15" customHeight="1"/>
  <cols>
    <col customWidth="1" min="1" max="1" width="6"/>
    <col customWidth="1" min="2" max="2" width="3"/>
    <col customWidth="1" min="3" max="3" style="9" width="64.6640625"/>
    <col bestFit="1" customWidth="1" min="4" max="4" width="12.21875"/>
    <col customWidth="1" min="5" max="6" style="10" width="12.21875"/>
    <col customWidth="1" min="7" max="7" style="10" width="9.5546875"/>
    <col customWidth="1" min="8" max="8" width="13.44140625"/>
    <col customWidth="1" min="9" max="9" width="14.6640625"/>
    <col customWidth="1" min="11" max="11" width="18.33203125"/>
  </cols>
  <sheetData>
    <row r="1" ht="25.5">
      <c r="A1" s="11"/>
      <c r="B1" s="12"/>
      <c r="C1" s="12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</row>
    <row r="2" ht="13.199999999999999">
      <c r="A2" s="14" t="s">
        <v>31</v>
      </c>
      <c r="B2" s="15" t="s">
        <v>4</v>
      </c>
      <c r="C2" s="16" t="s">
        <v>32</v>
      </c>
      <c r="D2" s="17">
        <v>1</v>
      </c>
      <c r="E2" s="17">
        <v>0</v>
      </c>
      <c r="F2" s="17">
        <v>0</v>
      </c>
      <c r="G2" s="17">
        <v>0</v>
      </c>
      <c r="H2" s="17">
        <v>0</v>
      </c>
      <c r="I2" s="18"/>
    </row>
    <row r="3" ht="25.5">
      <c r="A3" s="19"/>
      <c r="B3" s="20"/>
      <c r="C3" s="21" t="s">
        <v>33</v>
      </c>
      <c r="D3" s="22">
        <v>1</v>
      </c>
      <c r="E3" s="22">
        <v>0</v>
      </c>
      <c r="F3" s="22">
        <v>0</v>
      </c>
      <c r="G3" s="22">
        <v>0</v>
      </c>
      <c r="H3" s="22">
        <v>0</v>
      </c>
      <c r="I3" s="23"/>
    </row>
    <row r="4" ht="13.199999999999999">
      <c r="A4" s="19"/>
      <c r="B4" s="20"/>
      <c r="C4" s="24" t="s">
        <v>34</v>
      </c>
      <c r="D4" s="22">
        <v>1</v>
      </c>
      <c r="E4" s="22">
        <v>0</v>
      </c>
      <c r="F4" s="22">
        <v>0</v>
      </c>
      <c r="G4" s="22">
        <v>0</v>
      </c>
      <c r="H4" s="22">
        <v>0</v>
      </c>
      <c r="I4" s="23"/>
    </row>
    <row r="5" ht="38.25">
      <c r="A5" s="19"/>
      <c r="B5" s="25"/>
      <c r="C5" s="26" t="s">
        <v>35</v>
      </c>
      <c r="D5" s="27">
        <v>1</v>
      </c>
      <c r="E5" s="27">
        <v>0</v>
      </c>
      <c r="F5" s="27">
        <v>0</v>
      </c>
      <c r="G5" s="27">
        <v>0</v>
      </c>
      <c r="H5" s="27">
        <v>0</v>
      </c>
      <c r="I5" s="28"/>
    </row>
    <row r="6" ht="26.399999999999999">
      <c r="A6" s="19"/>
      <c r="B6" s="15" t="s">
        <v>7</v>
      </c>
      <c r="C6" s="16" t="s">
        <v>36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8"/>
    </row>
    <row r="7" ht="25.5">
      <c r="A7" s="19"/>
      <c r="B7" s="29"/>
      <c r="C7" s="30" t="s">
        <v>37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2"/>
    </row>
    <row r="8" ht="25.5">
      <c r="A8" s="19"/>
      <c r="B8" s="20"/>
      <c r="C8" s="24" t="s">
        <v>38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3"/>
    </row>
    <row r="9" ht="13.199999999999999">
      <c r="A9" s="19"/>
      <c r="B9" s="20"/>
      <c r="C9" s="24" t="s">
        <v>39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3"/>
    </row>
    <row r="10" ht="13.199999999999999">
      <c r="A10" s="33"/>
      <c r="B10" s="25"/>
      <c r="C10" s="26" t="s">
        <v>40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8"/>
    </row>
    <row r="11" ht="15.75" customHeight="1">
      <c r="A11" s="34" t="s">
        <v>41</v>
      </c>
      <c r="B11" s="9"/>
      <c r="C11" s="35"/>
      <c r="D11" s="36">
        <f>AVERAGE(D2:D10)</f>
        <v>0.44444444444444442</v>
      </c>
      <c r="E11" s="36">
        <f t="shared" ref="E11:H11" si="0">AVERAGE(E2:E10)</f>
        <v>0</v>
      </c>
      <c r="F11" s="36">
        <f t="shared" si="0"/>
        <v>0</v>
      </c>
      <c r="G11" s="36">
        <f t="shared" si="0"/>
        <v>0</v>
      </c>
      <c r="H11" s="36">
        <f t="shared" si="0"/>
        <v>0</v>
      </c>
      <c r="I11" s="37"/>
    </row>
    <row r="12" ht="25.5">
      <c r="A12" s="38" t="s">
        <v>42</v>
      </c>
      <c r="B12" s="15" t="s">
        <v>4</v>
      </c>
      <c r="C12" s="16" t="s">
        <v>43</v>
      </c>
      <c r="D12" s="17">
        <v>1</v>
      </c>
      <c r="E12" s="17">
        <v>0</v>
      </c>
      <c r="F12" s="17">
        <v>0</v>
      </c>
      <c r="G12" s="17">
        <v>0</v>
      </c>
      <c r="H12" s="17">
        <v>0</v>
      </c>
      <c r="I12" s="18"/>
    </row>
    <row r="13" ht="25.5">
      <c r="A13" s="19"/>
      <c r="B13" s="25"/>
      <c r="C13" s="39" t="s">
        <v>44</v>
      </c>
      <c r="D13" s="27">
        <v>1</v>
      </c>
      <c r="E13" s="27">
        <v>0</v>
      </c>
      <c r="F13" s="27">
        <v>0</v>
      </c>
      <c r="G13" s="27">
        <v>0</v>
      </c>
      <c r="H13" s="27">
        <v>0</v>
      </c>
      <c r="I13" s="28"/>
    </row>
    <row r="14" ht="25.5">
      <c r="A14" s="19"/>
      <c r="B14" s="15" t="s">
        <v>7</v>
      </c>
      <c r="C14" s="16" t="s">
        <v>45</v>
      </c>
      <c r="D14" s="17">
        <v>2</v>
      </c>
      <c r="E14" s="17">
        <v>0</v>
      </c>
      <c r="F14" s="17">
        <v>0</v>
      </c>
      <c r="G14" s="17">
        <v>0</v>
      </c>
      <c r="H14" s="17">
        <v>0</v>
      </c>
      <c r="I14" s="18"/>
    </row>
    <row r="15" ht="38.25">
      <c r="A15" s="19"/>
      <c r="B15" s="20"/>
      <c r="C15" s="40" t="s">
        <v>46</v>
      </c>
      <c r="D15" s="41">
        <v>2</v>
      </c>
      <c r="E15" s="41">
        <v>0</v>
      </c>
      <c r="F15" s="41">
        <v>0</v>
      </c>
      <c r="G15" s="41">
        <v>0</v>
      </c>
      <c r="H15" s="41">
        <v>0</v>
      </c>
      <c r="I15" s="42"/>
    </row>
    <row r="16" ht="25.5">
      <c r="A16" s="33"/>
      <c r="B16" s="25"/>
      <c r="C16" s="39" t="s">
        <v>47</v>
      </c>
      <c r="D16" s="27">
        <v>2</v>
      </c>
      <c r="E16" s="27">
        <v>0</v>
      </c>
      <c r="F16" s="27">
        <v>0</v>
      </c>
      <c r="G16" s="27">
        <v>0</v>
      </c>
      <c r="H16" s="27">
        <v>0</v>
      </c>
      <c r="I16" s="28"/>
    </row>
    <row r="17" ht="15.75" customHeight="1">
      <c r="A17" s="34" t="s">
        <v>41</v>
      </c>
      <c r="B17" s="9"/>
      <c r="C17" s="35"/>
      <c r="D17" s="36">
        <f t="shared" ref="D17:H17" si="1">AVERAGE(D12:D16)</f>
        <v>1.6000000000000001</v>
      </c>
      <c r="E17" s="36">
        <f t="shared" si="1"/>
        <v>0</v>
      </c>
      <c r="F17" s="36">
        <f t="shared" si="1"/>
        <v>0</v>
      </c>
      <c r="G17" s="36">
        <f t="shared" si="1"/>
        <v>0</v>
      </c>
      <c r="H17" s="36">
        <f t="shared" si="1"/>
        <v>0</v>
      </c>
      <c r="I17" s="37"/>
      <c r="K17" s="43" t="s">
        <v>24</v>
      </c>
      <c r="L17" s="44" t="s">
        <v>48</v>
      </c>
      <c r="M17" s="43" t="s">
        <v>49</v>
      </c>
      <c r="N17" s="43" t="s">
        <v>4</v>
      </c>
      <c r="O17" s="43" t="s">
        <v>7</v>
      </c>
    </row>
    <row r="18" ht="25.5">
      <c r="A18" s="45" t="s">
        <v>50</v>
      </c>
      <c r="B18" s="15" t="s">
        <v>4</v>
      </c>
      <c r="C18" s="16" t="s">
        <v>51</v>
      </c>
      <c r="D18" s="17">
        <v>2</v>
      </c>
      <c r="E18" s="17">
        <v>0</v>
      </c>
      <c r="F18" s="17">
        <v>0</v>
      </c>
      <c r="G18" s="17">
        <v>0</v>
      </c>
      <c r="H18" s="17">
        <v>0</v>
      </c>
      <c r="I18" s="18"/>
      <c r="K18" s="46" t="s">
        <v>31</v>
      </c>
      <c r="L18" s="47">
        <f>D11</f>
        <v>0.44444444444444442</v>
      </c>
      <c r="M18" s="48">
        <f t="shared" ref="M18:M24" si="2">N18+(2-N18)*0.7</f>
        <v>1.6666666666666665</v>
      </c>
      <c r="N18" s="48">
        <f>2*4/9</f>
        <v>0.88888888888888884</v>
      </c>
      <c r="O18" s="49">
        <v>2</v>
      </c>
    </row>
    <row r="19" ht="51">
      <c r="A19" s="19"/>
      <c r="B19" s="20"/>
      <c r="C19" s="24" t="s">
        <v>52</v>
      </c>
      <c r="D19" s="22">
        <v>2</v>
      </c>
      <c r="E19" s="22">
        <v>0</v>
      </c>
      <c r="F19" s="22">
        <v>0</v>
      </c>
      <c r="G19" s="22">
        <v>0</v>
      </c>
      <c r="H19" s="22">
        <v>0</v>
      </c>
      <c r="I19" s="23"/>
      <c r="K19" s="50" t="s">
        <v>42</v>
      </c>
      <c r="L19" s="47">
        <f>D17</f>
        <v>1.6000000000000001</v>
      </c>
      <c r="M19" s="48">
        <f t="shared" si="2"/>
        <v>1.6400000000000001</v>
      </c>
      <c r="N19" s="48">
        <f>2*2/5</f>
        <v>0.80000000000000004</v>
      </c>
      <c r="O19" s="49">
        <v>2</v>
      </c>
    </row>
    <row r="20" ht="13.199999999999999">
      <c r="A20" s="19"/>
      <c r="B20" s="25"/>
      <c r="C20" s="26" t="s">
        <v>53</v>
      </c>
      <c r="D20" s="27">
        <v>2</v>
      </c>
      <c r="E20" s="27">
        <v>0</v>
      </c>
      <c r="F20" s="27">
        <v>0</v>
      </c>
      <c r="G20" s="27">
        <v>0</v>
      </c>
      <c r="H20" s="27">
        <v>0</v>
      </c>
      <c r="I20" s="28"/>
      <c r="K20" s="43" t="s">
        <v>54</v>
      </c>
      <c r="L20" s="47">
        <f>D22</f>
        <v>2</v>
      </c>
      <c r="M20" s="48">
        <f t="shared" si="2"/>
        <v>2</v>
      </c>
      <c r="N20" s="48">
        <f>2*3/3</f>
        <v>2</v>
      </c>
      <c r="O20" s="49">
        <v>2</v>
      </c>
    </row>
    <row r="21" ht="26.399999999999999">
      <c r="A21" s="33"/>
      <c r="B21" s="51" t="s">
        <v>7</v>
      </c>
      <c r="C21" s="52" t="s">
        <v>55</v>
      </c>
      <c r="D21" s="53"/>
      <c r="E21" s="53"/>
      <c r="F21" s="53"/>
      <c r="G21" s="53"/>
      <c r="H21" s="53"/>
      <c r="I21" s="54"/>
      <c r="K21" s="55" t="s">
        <v>56</v>
      </c>
      <c r="L21" s="47">
        <f>D28</f>
        <v>1.3999999999999999</v>
      </c>
      <c r="M21" s="48">
        <f t="shared" si="2"/>
        <v>1.6400000000000001</v>
      </c>
      <c r="N21" s="48">
        <f>2*2/5</f>
        <v>0.80000000000000004</v>
      </c>
      <c r="O21" s="49">
        <v>2</v>
      </c>
    </row>
    <row r="22" ht="15.75" customHeight="1">
      <c r="A22" s="34" t="s">
        <v>41</v>
      </c>
      <c r="B22" s="9"/>
      <c r="C22" s="35"/>
      <c r="D22" s="36">
        <f t="shared" ref="D22:H22" si="3">AVERAGE(D18:D21)</f>
        <v>2</v>
      </c>
      <c r="E22" s="36">
        <f t="shared" si="3"/>
        <v>0</v>
      </c>
      <c r="F22" s="36">
        <f t="shared" si="3"/>
        <v>0</v>
      </c>
      <c r="G22" s="36">
        <f t="shared" si="3"/>
        <v>0</v>
      </c>
      <c r="H22" s="36">
        <f t="shared" si="3"/>
        <v>0</v>
      </c>
      <c r="I22" s="37"/>
      <c r="K22" s="56" t="s">
        <v>57</v>
      </c>
      <c r="L22" s="47">
        <f>D32</f>
        <v>1.3333333333333333</v>
      </c>
      <c r="M22" s="48">
        <f t="shared" si="2"/>
        <v>1.7999999999999998</v>
      </c>
      <c r="N22" s="48">
        <f>2*2/3</f>
        <v>1.3333333333333333</v>
      </c>
      <c r="O22" s="49">
        <v>2</v>
      </c>
    </row>
    <row r="23" ht="25.5">
      <c r="A23" s="57" t="s">
        <v>56</v>
      </c>
      <c r="B23" s="15" t="s">
        <v>4</v>
      </c>
      <c r="C23" s="16" t="s">
        <v>58</v>
      </c>
      <c r="D23" s="17">
        <v>1</v>
      </c>
      <c r="E23" s="17">
        <v>0</v>
      </c>
      <c r="F23" s="17">
        <v>0</v>
      </c>
      <c r="G23" s="17">
        <v>0</v>
      </c>
      <c r="H23" s="17">
        <v>0</v>
      </c>
      <c r="I23" s="18"/>
      <c r="K23" s="58" t="s">
        <v>59</v>
      </c>
      <c r="L23" s="47">
        <f>D35</f>
        <v>1</v>
      </c>
      <c r="M23" s="48">
        <f t="shared" si="2"/>
        <v>1.3999999999999999</v>
      </c>
      <c r="N23" s="48">
        <v>0</v>
      </c>
      <c r="O23" s="49">
        <v>2</v>
      </c>
    </row>
    <row r="24" ht="25.5">
      <c r="A24" s="19"/>
      <c r="B24" s="25"/>
      <c r="C24" s="39" t="s">
        <v>60</v>
      </c>
      <c r="D24" s="27">
        <v>1</v>
      </c>
      <c r="E24" s="27">
        <v>0</v>
      </c>
      <c r="F24" s="27">
        <v>0</v>
      </c>
      <c r="G24" s="27">
        <v>0</v>
      </c>
      <c r="H24" s="27">
        <v>0</v>
      </c>
      <c r="I24" s="28"/>
      <c r="K24" s="59" t="s">
        <v>61</v>
      </c>
      <c r="L24" s="47">
        <f>D42</f>
        <v>1.3333333333333333</v>
      </c>
      <c r="M24" s="48">
        <f t="shared" si="2"/>
        <v>1.7999999999999998</v>
      </c>
      <c r="N24" s="48">
        <f>2*4/6</f>
        <v>1.3333333333333333</v>
      </c>
      <c r="O24" s="49">
        <v>2</v>
      </c>
    </row>
    <row r="25" ht="25.5">
      <c r="A25" s="19"/>
      <c r="B25" s="15" t="s">
        <v>7</v>
      </c>
      <c r="C25" s="16" t="s">
        <v>62</v>
      </c>
      <c r="D25" s="17">
        <v>2</v>
      </c>
      <c r="E25" s="17">
        <v>0</v>
      </c>
      <c r="F25" s="17">
        <v>0</v>
      </c>
      <c r="G25" s="17">
        <v>0</v>
      </c>
      <c r="H25" s="17">
        <v>0</v>
      </c>
      <c r="I25" s="18"/>
    </row>
    <row r="26" ht="25.5">
      <c r="A26" s="19"/>
      <c r="B26" s="20"/>
      <c r="C26" s="24" t="s">
        <v>63</v>
      </c>
      <c r="D26" s="22">
        <v>2</v>
      </c>
      <c r="E26" s="22">
        <v>0</v>
      </c>
      <c r="F26" s="22">
        <v>0</v>
      </c>
      <c r="G26" s="22">
        <v>0</v>
      </c>
      <c r="H26" s="22">
        <v>0</v>
      </c>
      <c r="I26" s="23"/>
    </row>
    <row r="27" ht="25.5">
      <c r="A27" s="33"/>
      <c r="B27" s="25"/>
      <c r="C27" s="26" t="s">
        <v>64</v>
      </c>
      <c r="D27" s="27">
        <v>1</v>
      </c>
      <c r="E27" s="27">
        <v>0</v>
      </c>
      <c r="F27" s="27">
        <v>0</v>
      </c>
      <c r="G27" s="27">
        <v>0</v>
      </c>
      <c r="H27" s="27">
        <v>0</v>
      </c>
      <c r="I27" s="28"/>
    </row>
    <row r="28" ht="15.75" customHeight="1">
      <c r="A28" s="34" t="s">
        <v>41</v>
      </c>
      <c r="B28" s="9"/>
      <c r="C28" s="35"/>
      <c r="D28" s="36">
        <f t="shared" ref="D28:H28" si="4">AVERAGE(D23:D27)</f>
        <v>1.3999999999999999</v>
      </c>
      <c r="E28" s="36">
        <f t="shared" si="4"/>
        <v>0</v>
      </c>
      <c r="F28" s="36">
        <f t="shared" si="4"/>
        <v>0</v>
      </c>
      <c r="G28" s="36">
        <f t="shared" si="4"/>
        <v>0</v>
      </c>
      <c r="H28" s="36">
        <f t="shared" si="4"/>
        <v>0</v>
      </c>
      <c r="I28" s="37"/>
    </row>
    <row r="29" ht="13.199999999999999">
      <c r="A29" s="60" t="s">
        <v>57</v>
      </c>
      <c r="B29" s="15" t="s">
        <v>4</v>
      </c>
      <c r="C29" s="16" t="s">
        <v>65</v>
      </c>
      <c r="D29" s="17">
        <v>1</v>
      </c>
      <c r="E29" s="17">
        <v>0</v>
      </c>
      <c r="F29" s="17">
        <v>0</v>
      </c>
      <c r="G29" s="17">
        <v>0</v>
      </c>
      <c r="H29" s="17">
        <v>0</v>
      </c>
      <c r="I29" s="18"/>
    </row>
    <row r="30" ht="25.5">
      <c r="A30" s="19"/>
      <c r="B30" s="25"/>
      <c r="C30" s="26" t="s">
        <v>66</v>
      </c>
      <c r="D30" s="27">
        <v>1</v>
      </c>
      <c r="E30" s="27">
        <v>0</v>
      </c>
      <c r="F30" s="27">
        <v>0</v>
      </c>
      <c r="G30" s="27">
        <v>0</v>
      </c>
      <c r="H30" s="27">
        <v>0</v>
      </c>
      <c r="I30" s="28"/>
      <c r="K30" s="61"/>
      <c r="M30" s="62"/>
      <c r="N30" s="62"/>
      <c r="O30" s="62"/>
    </row>
    <row r="31" ht="38.25">
      <c r="A31" s="33"/>
      <c r="B31" s="51" t="s">
        <v>7</v>
      </c>
      <c r="C31" s="53" t="s">
        <v>67</v>
      </c>
      <c r="D31" s="63">
        <v>2</v>
      </c>
      <c r="E31" s="63">
        <v>0</v>
      </c>
      <c r="F31" s="63">
        <v>0</v>
      </c>
      <c r="G31" s="63">
        <v>0</v>
      </c>
      <c r="H31" s="63">
        <v>0</v>
      </c>
      <c r="I31" s="64"/>
    </row>
    <row r="32" ht="15.75" customHeight="1">
      <c r="A32" s="34" t="s">
        <v>41</v>
      </c>
      <c r="B32" s="9"/>
      <c r="C32" s="35"/>
      <c r="D32" s="36">
        <f t="shared" ref="D32:H32" si="5">AVERAGE(D29:D31)</f>
        <v>1.3333333333333333</v>
      </c>
      <c r="E32" s="36">
        <f t="shared" si="5"/>
        <v>0</v>
      </c>
      <c r="F32" s="36">
        <f t="shared" si="5"/>
        <v>0</v>
      </c>
      <c r="G32" s="36">
        <f t="shared" si="5"/>
        <v>0</v>
      </c>
      <c r="H32" s="36">
        <f t="shared" si="5"/>
        <v>0</v>
      </c>
      <c r="I32" s="37"/>
    </row>
    <row r="33" ht="15.75" customHeight="1">
      <c r="A33" s="65" t="s">
        <v>59</v>
      </c>
      <c r="B33" s="51" t="s">
        <v>4</v>
      </c>
      <c r="C33" s="66" t="s">
        <v>68</v>
      </c>
      <c r="D33" s="53"/>
      <c r="E33" s="53"/>
      <c r="F33" s="53"/>
      <c r="G33" s="53"/>
      <c r="H33" s="53"/>
      <c r="I33" s="64"/>
    </row>
    <row r="34" ht="61.5" customHeight="1">
      <c r="A34" s="33"/>
      <c r="B34" s="51" t="s">
        <v>7</v>
      </c>
      <c r="C34" s="53" t="s">
        <v>69</v>
      </c>
      <c r="D34" s="63">
        <v>1</v>
      </c>
      <c r="E34" s="63">
        <v>0</v>
      </c>
      <c r="F34" s="63">
        <v>0</v>
      </c>
      <c r="G34" s="63">
        <v>0</v>
      </c>
      <c r="H34" s="63">
        <v>0</v>
      </c>
      <c r="I34" s="64"/>
    </row>
    <row r="35" ht="17.25" customHeight="1">
      <c r="A35" s="34" t="s">
        <v>41</v>
      </c>
      <c r="B35" s="9"/>
      <c r="C35" s="35"/>
      <c r="D35" s="36">
        <f t="shared" ref="D35:H35" si="6">AVERAGE(D33:D34)</f>
        <v>1</v>
      </c>
      <c r="E35" s="36">
        <f t="shared" si="6"/>
        <v>0</v>
      </c>
      <c r="F35" s="36">
        <f t="shared" si="6"/>
        <v>0</v>
      </c>
      <c r="G35" s="36">
        <f t="shared" si="6"/>
        <v>0</v>
      </c>
      <c r="H35" s="36">
        <f t="shared" si="6"/>
        <v>0</v>
      </c>
      <c r="I35" s="37"/>
    </row>
    <row r="36" ht="39.75" customHeight="1">
      <c r="A36" s="67" t="s">
        <v>70</v>
      </c>
      <c r="B36" s="15" t="s">
        <v>4</v>
      </c>
      <c r="C36" s="16" t="s">
        <v>71</v>
      </c>
      <c r="D36" s="17">
        <v>1</v>
      </c>
      <c r="E36" s="17">
        <v>0</v>
      </c>
      <c r="F36" s="17">
        <v>0</v>
      </c>
      <c r="G36" s="17">
        <v>0</v>
      </c>
      <c r="H36" s="17">
        <v>0</v>
      </c>
      <c r="I36" s="18"/>
    </row>
    <row r="37" ht="38.25">
      <c r="A37" s="19"/>
      <c r="B37" s="20"/>
      <c r="C37" s="68" t="s">
        <v>72</v>
      </c>
      <c r="D37" s="31">
        <v>1</v>
      </c>
      <c r="E37" s="31">
        <v>0</v>
      </c>
      <c r="F37" s="31">
        <v>0</v>
      </c>
      <c r="G37" s="31">
        <v>0</v>
      </c>
      <c r="H37" s="31">
        <v>0</v>
      </c>
      <c r="I37" s="32"/>
    </row>
    <row r="38" ht="25.5">
      <c r="A38" s="19"/>
      <c r="B38" s="20"/>
      <c r="C38" s="21" t="s">
        <v>73</v>
      </c>
      <c r="D38" s="22">
        <v>1</v>
      </c>
      <c r="E38" s="22">
        <v>0</v>
      </c>
      <c r="F38" s="22">
        <v>0</v>
      </c>
      <c r="G38" s="22">
        <v>0</v>
      </c>
      <c r="H38" s="22">
        <v>0</v>
      </c>
      <c r="I38" s="23"/>
    </row>
    <row r="39" ht="13.199999999999999">
      <c r="A39" s="19"/>
      <c r="B39" s="25"/>
      <c r="C39" s="39" t="s">
        <v>74</v>
      </c>
      <c r="D39" s="27">
        <v>1</v>
      </c>
      <c r="E39" s="27">
        <v>0</v>
      </c>
      <c r="F39" s="27">
        <v>0</v>
      </c>
      <c r="G39" s="27">
        <v>0</v>
      </c>
      <c r="H39" s="27">
        <v>0</v>
      </c>
      <c r="I39" s="28"/>
    </row>
    <row r="40" ht="13.199999999999999">
      <c r="A40" s="19"/>
      <c r="B40" s="15" t="s">
        <v>7</v>
      </c>
      <c r="C40" s="16" t="s">
        <v>75</v>
      </c>
      <c r="D40" s="17">
        <v>2</v>
      </c>
      <c r="E40" s="17">
        <v>0</v>
      </c>
      <c r="F40" s="17">
        <v>0</v>
      </c>
      <c r="G40" s="17">
        <v>0</v>
      </c>
      <c r="H40" s="17">
        <v>0</v>
      </c>
      <c r="I40" s="18"/>
    </row>
    <row r="41" ht="25.5">
      <c r="A41" s="33"/>
      <c r="B41" s="25"/>
      <c r="C41" s="39" t="s">
        <v>76</v>
      </c>
      <c r="D41" s="27">
        <v>2</v>
      </c>
      <c r="E41" s="27">
        <v>0</v>
      </c>
      <c r="F41" s="27">
        <v>0</v>
      </c>
      <c r="G41" s="27">
        <v>0</v>
      </c>
      <c r="H41" s="27">
        <v>0</v>
      </c>
      <c r="I41" s="28"/>
    </row>
    <row r="42" ht="15.75" customHeight="1">
      <c r="A42" s="69" t="s">
        <v>41</v>
      </c>
      <c r="B42" s="70"/>
      <c r="C42" s="71"/>
      <c r="D42" s="72">
        <f t="shared" ref="D42:H42" si="7">AVERAGE(D36:D41)</f>
        <v>1.3333333333333333</v>
      </c>
      <c r="E42" s="72">
        <f t="shared" si="7"/>
        <v>0</v>
      </c>
      <c r="F42" s="72">
        <f t="shared" si="7"/>
        <v>0</v>
      </c>
      <c r="G42" s="72">
        <f>AVERAGE(G36:G41)</f>
        <v>0</v>
      </c>
      <c r="H42" s="72">
        <f t="shared" si="7"/>
        <v>0</v>
      </c>
      <c r="I42" s="73"/>
    </row>
    <row r="43" ht="15.75" customHeight="1">
      <c r="A43" s="74"/>
      <c r="B43" s="61"/>
      <c r="C43" s="61"/>
      <c r="D43" s="75"/>
      <c r="E43" s="75"/>
      <c r="F43" s="75"/>
      <c r="G43" s="75"/>
      <c r="H43" s="62"/>
    </row>
    <row r="44" ht="15.75" customHeight="1">
      <c r="A44" s="74"/>
      <c r="B44" s="76"/>
    </row>
    <row r="45" ht="15.75" customHeight="1">
      <c r="A45" s="74"/>
      <c r="B45" s="61"/>
    </row>
    <row r="46" ht="15.75" customHeight="1">
      <c r="A46" s="74"/>
      <c r="B46" s="61"/>
    </row>
    <row r="47" ht="15.75" customHeight="1">
      <c r="A47" s="74"/>
      <c r="B47" s="61"/>
    </row>
    <row r="48" ht="15.75" customHeight="1">
      <c r="A48" s="74"/>
      <c r="B48" s="61"/>
    </row>
    <row r="49" ht="15.75" customHeight="1">
      <c r="A49" s="74"/>
      <c r="B49" s="61"/>
    </row>
    <row r="50" ht="15.75" customHeight="1">
      <c r="A50" s="74"/>
      <c r="B50" s="61"/>
    </row>
    <row r="51" ht="15.75" customHeight="1">
      <c r="A51" s="74"/>
      <c r="B51" s="61"/>
    </row>
    <row r="52" ht="15.75" customHeight="1">
      <c r="A52" s="74"/>
      <c r="B52" s="61"/>
      <c r="C52" s="61"/>
      <c r="H52" s="62"/>
    </row>
    <row r="53" ht="15.75" customHeight="1">
      <c r="A53" s="74"/>
      <c r="B53" s="61"/>
      <c r="C53" s="61"/>
      <c r="H53" s="62"/>
    </row>
    <row r="54" ht="15.75" customHeight="1">
      <c r="A54" s="74"/>
      <c r="B54" s="61"/>
      <c r="C54" s="61"/>
      <c r="H54" s="62"/>
    </row>
    <row r="55" ht="15.75" customHeight="1">
      <c r="A55" s="74"/>
      <c r="B55" s="61"/>
      <c r="C55" s="61"/>
      <c r="H55" s="62"/>
    </row>
    <row r="56" ht="15.75" customHeight="1">
      <c r="A56" s="74"/>
      <c r="B56" s="61"/>
      <c r="C56" s="61"/>
      <c r="H56" s="62"/>
    </row>
    <row r="57" ht="15.75" customHeight="1">
      <c r="A57" s="74"/>
      <c r="B57" s="61"/>
      <c r="C57" s="61"/>
      <c r="H57" s="62"/>
    </row>
    <row r="58" ht="15.75" customHeight="1">
      <c r="A58" s="74"/>
      <c r="B58" s="61"/>
      <c r="C58" s="61"/>
      <c r="H58" s="62"/>
    </row>
    <row r="59" ht="15.75" customHeight="1">
      <c r="A59" s="74"/>
      <c r="B59" s="61"/>
      <c r="C59" s="61"/>
      <c r="H59" s="62"/>
    </row>
    <row r="60" ht="15.75" customHeight="1">
      <c r="A60" s="74"/>
      <c r="B60" s="61"/>
      <c r="C60" s="61"/>
      <c r="H60" s="62"/>
    </row>
    <row r="61" ht="15.75" customHeight="1">
      <c r="A61" s="74"/>
      <c r="B61" s="61"/>
      <c r="C61" s="61"/>
      <c r="H61" s="62"/>
    </row>
    <row r="62" ht="15.75" customHeight="1">
      <c r="A62" s="74"/>
      <c r="B62" s="61"/>
      <c r="C62" s="61"/>
      <c r="H62" s="62"/>
    </row>
    <row r="63" ht="15.75" customHeight="1">
      <c r="A63" s="74"/>
      <c r="B63" s="61"/>
      <c r="C63" s="61"/>
      <c r="H63" s="62"/>
    </row>
    <row r="64" ht="15.75" customHeight="1">
      <c r="A64" s="74"/>
      <c r="B64" s="61"/>
      <c r="C64" s="61"/>
      <c r="H64" s="62"/>
    </row>
    <row r="65" ht="15.75" customHeight="1">
      <c r="A65" s="74"/>
      <c r="B65" s="61"/>
      <c r="C65" s="61"/>
      <c r="H65" s="62"/>
    </row>
    <row r="66" ht="15.75" customHeight="1">
      <c r="A66" s="74"/>
      <c r="B66" s="61"/>
      <c r="C66" s="61"/>
      <c r="H66" s="62"/>
    </row>
    <row r="67" ht="15.75" customHeight="1">
      <c r="A67" s="74"/>
      <c r="B67" s="61"/>
      <c r="C67" s="61"/>
      <c r="H67" s="62"/>
    </row>
    <row r="68" ht="15.75" customHeight="1">
      <c r="A68" s="74"/>
      <c r="B68" s="61"/>
      <c r="C68" s="61"/>
      <c r="H68" s="62"/>
    </row>
    <row r="69" ht="15.75" customHeight="1">
      <c r="A69" s="74"/>
      <c r="B69" s="61"/>
      <c r="C69" s="61"/>
      <c r="H69" s="62"/>
    </row>
    <row r="70" ht="15.75" customHeight="1">
      <c r="A70" s="74"/>
      <c r="B70" s="61"/>
      <c r="C70" s="61"/>
      <c r="H70" s="62"/>
    </row>
    <row r="71" ht="15.75" customHeight="1">
      <c r="A71" s="74"/>
      <c r="B71" s="61"/>
      <c r="C71" s="61"/>
      <c r="H71" s="62"/>
    </row>
    <row r="72" ht="15.75" customHeight="1">
      <c r="A72" s="74"/>
      <c r="B72" s="61"/>
      <c r="C72" s="61"/>
      <c r="H72" s="62"/>
    </row>
    <row r="73" ht="15.75" customHeight="1">
      <c r="A73" s="74"/>
      <c r="B73" s="61"/>
      <c r="C73" s="61"/>
      <c r="H73" s="62"/>
    </row>
    <row r="74" ht="15.75" customHeight="1">
      <c r="A74" s="74"/>
      <c r="B74" s="61"/>
      <c r="C74" s="61"/>
      <c r="H74" s="62"/>
    </row>
    <row r="75" ht="15.75" customHeight="1">
      <c r="A75" s="74"/>
      <c r="B75" s="61"/>
      <c r="C75" s="61"/>
      <c r="H75" s="62"/>
    </row>
    <row r="76" ht="15.75" customHeight="1">
      <c r="A76" s="74"/>
      <c r="B76" s="61"/>
      <c r="C76" s="61"/>
      <c r="H76" s="62"/>
    </row>
    <row r="77" ht="15.75" customHeight="1">
      <c r="A77" s="74"/>
      <c r="B77" s="61"/>
      <c r="C77" s="61"/>
      <c r="H77" s="62"/>
    </row>
    <row r="78" ht="15.75" customHeight="1">
      <c r="A78" s="74"/>
      <c r="B78" s="61"/>
      <c r="C78" s="61"/>
      <c r="H78" s="62"/>
    </row>
    <row r="79" ht="15.75" customHeight="1">
      <c r="A79" s="74"/>
      <c r="B79" s="61"/>
      <c r="C79" s="61"/>
      <c r="H79" s="62"/>
    </row>
    <row r="80" ht="15.75" customHeight="1">
      <c r="A80" s="74"/>
      <c r="B80" s="61"/>
      <c r="C80" s="61"/>
      <c r="H80" s="62"/>
    </row>
    <row r="81" ht="15.75" customHeight="1">
      <c r="A81" s="74"/>
      <c r="B81" s="61"/>
      <c r="C81" s="61"/>
      <c r="H81" s="62"/>
    </row>
    <row r="82" ht="15.75" customHeight="1">
      <c r="A82" s="74"/>
      <c r="B82" s="61"/>
      <c r="C82" s="61"/>
      <c r="H82" s="62"/>
    </row>
    <row r="83" ht="15.75" customHeight="1">
      <c r="A83" s="74"/>
      <c r="B83" s="61"/>
      <c r="C83" s="61"/>
      <c r="H83" s="62"/>
    </row>
    <row r="84" ht="15.75" customHeight="1">
      <c r="A84" s="74"/>
      <c r="B84" s="61"/>
      <c r="C84" s="61"/>
      <c r="H84" s="62"/>
    </row>
    <row r="85" ht="15.75" customHeight="1">
      <c r="A85" s="74"/>
      <c r="B85" s="61"/>
      <c r="C85" s="61"/>
      <c r="H85" s="62"/>
    </row>
    <row r="86" ht="15.75" customHeight="1">
      <c r="A86" s="74"/>
      <c r="B86" s="61"/>
      <c r="C86" s="61"/>
      <c r="H86" s="62"/>
    </row>
    <row r="87" ht="15.75" customHeight="1">
      <c r="A87" s="74"/>
      <c r="B87" s="61"/>
      <c r="C87" s="61"/>
      <c r="H87" s="62"/>
    </row>
    <row r="88" ht="15.75" customHeight="1">
      <c r="A88" s="74"/>
      <c r="B88" s="61"/>
      <c r="C88" s="61"/>
      <c r="H88" s="62"/>
    </row>
    <row r="89" ht="15.75" customHeight="1">
      <c r="A89" s="74"/>
      <c r="B89" s="61"/>
      <c r="C89" s="61"/>
      <c r="H89" s="62"/>
    </row>
    <row r="90" ht="15.75" customHeight="1">
      <c r="A90" s="74"/>
      <c r="B90" s="61"/>
      <c r="C90" s="61"/>
      <c r="H90" s="62"/>
    </row>
    <row r="91" ht="15.75" customHeight="1">
      <c r="A91" s="74"/>
      <c r="B91" s="61"/>
      <c r="C91" s="61"/>
      <c r="H91" s="62"/>
    </row>
    <row r="92" ht="15.75" customHeight="1">
      <c r="A92" s="74"/>
      <c r="B92" s="61"/>
      <c r="C92" s="61"/>
      <c r="H92" s="62"/>
    </row>
    <row r="93" ht="15.75" customHeight="1">
      <c r="A93" s="74"/>
      <c r="B93" s="61"/>
      <c r="C93" s="61"/>
      <c r="H93" s="62"/>
    </row>
    <row r="94" ht="15.75" customHeight="1">
      <c r="A94" s="74"/>
      <c r="B94" s="61"/>
      <c r="C94" s="61"/>
      <c r="H94" s="62"/>
    </row>
    <row r="95" ht="15.75" customHeight="1">
      <c r="A95" s="74"/>
      <c r="B95" s="61"/>
      <c r="C95" s="61"/>
      <c r="H95" s="62"/>
    </row>
    <row r="96" ht="15.75" customHeight="1">
      <c r="A96" s="74"/>
      <c r="B96" s="61"/>
      <c r="C96" s="61"/>
      <c r="H96" s="62"/>
    </row>
    <row r="97" ht="15.75" customHeight="1">
      <c r="A97" s="74"/>
      <c r="B97" s="61"/>
      <c r="C97" s="61"/>
      <c r="H97" s="62"/>
    </row>
    <row r="98" ht="15.75" customHeight="1">
      <c r="A98" s="74"/>
      <c r="B98" s="61"/>
      <c r="C98" s="61"/>
      <c r="H98" s="62"/>
    </row>
    <row r="99" ht="15.75" customHeight="1">
      <c r="A99" s="74"/>
      <c r="B99" s="61"/>
      <c r="C99" s="61"/>
      <c r="H99" s="62"/>
    </row>
    <row r="100" ht="15.75" customHeight="1">
      <c r="A100" s="74"/>
      <c r="B100" s="61"/>
      <c r="C100" s="61"/>
      <c r="H100" s="62"/>
    </row>
    <row r="101" ht="15.75" customHeight="1">
      <c r="A101" s="74"/>
      <c r="B101" s="61"/>
      <c r="C101" s="61"/>
      <c r="H101" s="62"/>
    </row>
    <row r="102" ht="15.75" customHeight="1">
      <c r="A102" s="74"/>
      <c r="B102" s="61"/>
      <c r="C102" s="61"/>
      <c r="H102" s="62"/>
    </row>
    <row r="103" ht="15.75" customHeight="1">
      <c r="A103" s="74"/>
      <c r="B103" s="61"/>
      <c r="C103" s="61"/>
      <c r="H103" s="62"/>
    </row>
    <row r="104" ht="15.75" customHeight="1">
      <c r="A104" s="74"/>
      <c r="B104" s="61"/>
      <c r="C104" s="61"/>
      <c r="H104" s="62"/>
    </row>
    <row r="105" ht="15.75" customHeight="1">
      <c r="A105" s="74"/>
      <c r="B105" s="61"/>
      <c r="C105" s="61"/>
      <c r="H105" s="62"/>
    </row>
    <row r="106" ht="15.75" customHeight="1">
      <c r="A106" s="74"/>
      <c r="B106" s="61"/>
      <c r="C106" s="61"/>
      <c r="H106" s="62"/>
    </row>
    <row r="107" ht="15.75" customHeight="1">
      <c r="A107" s="74"/>
      <c r="B107" s="61"/>
      <c r="C107" s="61"/>
      <c r="H107" s="62"/>
    </row>
    <row r="108" ht="15.75" customHeight="1">
      <c r="A108" s="74"/>
      <c r="B108" s="61"/>
      <c r="C108" s="61"/>
      <c r="H108" s="62"/>
    </row>
    <row r="109" ht="15.75" customHeight="1">
      <c r="A109" s="74"/>
      <c r="B109" s="61"/>
      <c r="C109" s="61"/>
      <c r="H109" s="62"/>
    </row>
    <row r="110" ht="15.75" customHeight="1">
      <c r="A110" s="74"/>
      <c r="B110" s="61"/>
      <c r="C110" s="61"/>
      <c r="H110" s="62"/>
    </row>
    <row r="111" ht="15.75" customHeight="1">
      <c r="A111" s="74"/>
      <c r="B111" s="61"/>
      <c r="C111" s="61"/>
      <c r="H111" s="62"/>
    </row>
    <row r="112" ht="15.75" customHeight="1">
      <c r="A112" s="74"/>
      <c r="B112" s="61"/>
      <c r="C112" s="61"/>
      <c r="H112" s="62"/>
    </row>
    <row r="113" ht="15.75" customHeight="1">
      <c r="A113" s="74"/>
      <c r="B113" s="61"/>
      <c r="C113" s="61"/>
      <c r="H113" s="62"/>
    </row>
    <row r="114" ht="15.75" customHeight="1">
      <c r="A114" s="74"/>
      <c r="B114" s="61"/>
      <c r="C114" s="61"/>
      <c r="H114" s="62"/>
    </row>
    <row r="115" ht="15.75" customHeight="1">
      <c r="A115" s="74"/>
      <c r="B115" s="61"/>
      <c r="C115" s="61"/>
      <c r="H115" s="62"/>
    </row>
    <row r="116" ht="15.75" customHeight="1">
      <c r="A116" s="74"/>
      <c r="B116" s="61"/>
      <c r="C116" s="61"/>
      <c r="H116" s="62"/>
    </row>
    <row r="117" ht="15.75" customHeight="1">
      <c r="A117" s="74"/>
      <c r="B117" s="61"/>
      <c r="C117" s="61"/>
      <c r="H117" s="62"/>
    </row>
    <row r="118" ht="15.75" customHeight="1">
      <c r="A118" s="74"/>
      <c r="B118" s="61"/>
      <c r="C118" s="61"/>
      <c r="H118" s="62"/>
    </row>
    <row r="119" ht="15.75" customHeight="1">
      <c r="A119" s="74"/>
      <c r="B119" s="61"/>
      <c r="C119" s="61"/>
      <c r="H119" s="62"/>
    </row>
    <row r="120" ht="15.75" customHeight="1">
      <c r="A120" s="74"/>
      <c r="B120" s="61"/>
      <c r="C120" s="61"/>
      <c r="H120" s="62"/>
    </row>
    <row r="121" ht="15.75" customHeight="1">
      <c r="A121" s="74"/>
      <c r="B121" s="61"/>
      <c r="C121" s="61"/>
      <c r="H121" s="62"/>
    </row>
    <row r="122" ht="15.75" customHeight="1">
      <c r="A122" s="74"/>
      <c r="B122" s="61"/>
      <c r="C122" s="61"/>
      <c r="H122" s="62"/>
    </row>
    <row r="123" ht="15.75" customHeight="1">
      <c r="A123" s="74"/>
      <c r="B123" s="61"/>
      <c r="C123" s="61"/>
      <c r="H123" s="62"/>
    </row>
    <row r="124" ht="15.75" customHeight="1">
      <c r="A124" s="74"/>
      <c r="B124" s="61"/>
      <c r="C124" s="61"/>
      <c r="H124" s="62"/>
    </row>
    <row r="125" ht="15.75" customHeight="1">
      <c r="A125" s="74"/>
      <c r="B125" s="61"/>
      <c r="C125" s="61"/>
      <c r="H125" s="62"/>
    </row>
    <row r="126" ht="15.75" customHeight="1">
      <c r="A126" s="74"/>
      <c r="B126" s="61"/>
      <c r="C126" s="61"/>
      <c r="H126" s="62"/>
    </row>
    <row r="127" ht="15.75" customHeight="1">
      <c r="A127" s="74"/>
      <c r="B127" s="61"/>
      <c r="C127" s="61"/>
      <c r="H127" s="62"/>
    </row>
    <row r="128" ht="15.75" customHeight="1">
      <c r="A128" s="74"/>
      <c r="B128" s="61"/>
      <c r="C128" s="61"/>
      <c r="H128" s="62"/>
    </row>
    <row r="129" ht="15.75" customHeight="1">
      <c r="A129" s="74"/>
      <c r="B129" s="61"/>
      <c r="C129" s="61"/>
      <c r="H129" s="62"/>
    </row>
    <row r="130" ht="15.75" customHeight="1">
      <c r="A130" s="74"/>
      <c r="B130" s="61"/>
      <c r="C130" s="61"/>
      <c r="H130" s="62"/>
    </row>
    <row r="131" ht="15.75" customHeight="1">
      <c r="A131" s="74"/>
      <c r="B131" s="61"/>
      <c r="C131" s="61"/>
      <c r="H131" s="62"/>
    </row>
    <row r="132" ht="15.75" customHeight="1">
      <c r="A132" s="74"/>
      <c r="B132" s="61"/>
      <c r="C132" s="61"/>
      <c r="H132" s="62"/>
    </row>
    <row r="133" ht="15.75" customHeight="1">
      <c r="A133" s="74"/>
      <c r="B133" s="61"/>
      <c r="C133" s="61"/>
      <c r="H133" s="62"/>
    </row>
    <row r="134" ht="15.75" customHeight="1">
      <c r="A134" s="74"/>
      <c r="B134" s="61"/>
      <c r="C134" s="61"/>
      <c r="H134" s="62"/>
    </row>
    <row r="135" ht="15.75" customHeight="1">
      <c r="A135" s="74"/>
      <c r="B135" s="61"/>
      <c r="C135" s="61"/>
      <c r="H135" s="62"/>
    </row>
    <row r="136" ht="15.75" customHeight="1">
      <c r="A136" s="74"/>
      <c r="B136" s="61"/>
      <c r="C136" s="61"/>
      <c r="H136" s="62"/>
    </row>
    <row r="137" ht="15.75" customHeight="1">
      <c r="A137" s="74"/>
      <c r="B137" s="61"/>
      <c r="C137" s="61"/>
      <c r="H137" s="62"/>
    </row>
    <row r="138" ht="15.75" customHeight="1">
      <c r="A138" s="74"/>
      <c r="B138" s="61"/>
      <c r="C138" s="61"/>
      <c r="H138" s="62"/>
    </row>
    <row r="139" ht="15.75" customHeight="1">
      <c r="A139" s="74"/>
      <c r="B139" s="61"/>
      <c r="C139" s="61"/>
      <c r="H139" s="62"/>
    </row>
    <row r="140" ht="15.75" customHeight="1">
      <c r="A140" s="74"/>
      <c r="B140" s="61"/>
      <c r="C140" s="61"/>
      <c r="H140" s="62"/>
    </row>
    <row r="141" ht="15.75" customHeight="1">
      <c r="A141" s="74"/>
      <c r="B141" s="61"/>
      <c r="C141" s="61"/>
      <c r="H141" s="62"/>
    </row>
    <row r="142" ht="15.75" customHeight="1">
      <c r="A142" s="74"/>
      <c r="B142" s="61"/>
      <c r="C142" s="61"/>
      <c r="H142" s="62"/>
    </row>
    <row r="143" ht="15.75" customHeight="1">
      <c r="A143" s="74"/>
      <c r="B143" s="61"/>
      <c r="C143" s="61"/>
      <c r="H143" s="62"/>
    </row>
    <row r="144" ht="15.75" customHeight="1">
      <c r="A144" s="74"/>
      <c r="B144" s="61"/>
      <c r="C144" s="61"/>
      <c r="H144" s="62"/>
    </row>
    <row r="145" ht="15.75" customHeight="1">
      <c r="A145" s="74"/>
      <c r="B145" s="61"/>
      <c r="C145" s="61"/>
      <c r="H145" s="62"/>
    </row>
    <row r="146" ht="15.75" customHeight="1">
      <c r="A146" s="74"/>
      <c r="B146" s="61"/>
      <c r="C146" s="61"/>
      <c r="H146" s="62"/>
    </row>
    <row r="147" ht="15.75" customHeight="1">
      <c r="A147" s="74"/>
      <c r="B147" s="61"/>
      <c r="C147" s="61"/>
      <c r="H147" s="62"/>
    </row>
    <row r="148" ht="15.75" customHeight="1">
      <c r="A148" s="74"/>
      <c r="B148" s="61"/>
      <c r="C148" s="61"/>
      <c r="H148" s="62"/>
    </row>
    <row r="149" ht="15.75" customHeight="1">
      <c r="A149" s="74"/>
      <c r="B149" s="61"/>
      <c r="C149" s="61"/>
      <c r="H149" s="62"/>
    </row>
    <row r="150" ht="15.75" customHeight="1">
      <c r="A150" s="74"/>
      <c r="B150" s="61"/>
      <c r="C150" s="61"/>
      <c r="H150" s="62"/>
    </row>
    <row r="151" ht="15.75" customHeight="1">
      <c r="A151" s="74"/>
      <c r="B151" s="61"/>
      <c r="C151" s="61"/>
      <c r="H151" s="62"/>
    </row>
    <row r="152" ht="15.75" customHeight="1">
      <c r="A152" s="74"/>
      <c r="B152" s="61"/>
      <c r="C152" s="61"/>
      <c r="H152" s="62"/>
    </row>
    <row r="153" ht="15.75" customHeight="1">
      <c r="A153" s="74"/>
      <c r="B153" s="61"/>
      <c r="C153" s="61"/>
      <c r="H153" s="62"/>
    </row>
    <row r="154" ht="15.75" customHeight="1">
      <c r="A154" s="74"/>
      <c r="B154" s="61"/>
      <c r="C154" s="61"/>
      <c r="H154" s="62"/>
    </row>
    <row r="155" ht="15.75" customHeight="1">
      <c r="A155" s="74"/>
      <c r="B155" s="61"/>
      <c r="C155" s="61"/>
      <c r="H155" s="62"/>
    </row>
    <row r="156" ht="15.75" customHeight="1">
      <c r="A156" s="74"/>
      <c r="B156" s="61"/>
      <c r="C156" s="61"/>
      <c r="H156" s="62"/>
    </row>
    <row r="157" ht="15.75" customHeight="1">
      <c r="A157" s="74"/>
      <c r="B157" s="61"/>
      <c r="C157" s="61"/>
      <c r="H157" s="62"/>
    </row>
    <row r="158" ht="15.75" customHeight="1">
      <c r="A158" s="74"/>
      <c r="B158" s="61"/>
      <c r="C158" s="61"/>
      <c r="H158" s="62"/>
    </row>
    <row r="159" ht="15.75" customHeight="1">
      <c r="A159" s="74"/>
      <c r="B159" s="61"/>
      <c r="C159" s="61"/>
      <c r="H159" s="62"/>
    </row>
    <row r="160" ht="15.75" customHeight="1">
      <c r="A160" s="74"/>
      <c r="B160" s="61"/>
      <c r="C160" s="61"/>
      <c r="H160" s="62"/>
    </row>
    <row r="161" ht="15.75" customHeight="1">
      <c r="A161" s="74"/>
      <c r="B161" s="61"/>
      <c r="C161" s="61"/>
      <c r="H161" s="62"/>
    </row>
    <row r="162" ht="15.75" customHeight="1">
      <c r="A162" s="74"/>
      <c r="B162" s="61"/>
      <c r="C162" s="61"/>
      <c r="H162" s="62"/>
    </row>
    <row r="163" ht="15.75" customHeight="1">
      <c r="A163" s="74"/>
      <c r="B163" s="61"/>
      <c r="C163" s="61"/>
      <c r="H163" s="62"/>
    </row>
    <row r="164" ht="15.75" customHeight="1">
      <c r="A164" s="74"/>
      <c r="B164" s="61"/>
      <c r="C164" s="61"/>
      <c r="H164" s="62"/>
    </row>
    <row r="165" ht="15.75" customHeight="1">
      <c r="A165" s="74"/>
      <c r="B165" s="61"/>
      <c r="C165" s="61"/>
      <c r="H165" s="62"/>
    </row>
    <row r="166" ht="15.75" customHeight="1">
      <c r="A166" s="74"/>
      <c r="B166" s="61"/>
      <c r="C166" s="61"/>
      <c r="H166" s="62"/>
    </row>
    <row r="167" ht="15.75" customHeight="1">
      <c r="A167" s="74"/>
      <c r="B167" s="61"/>
      <c r="C167" s="61"/>
      <c r="H167" s="62"/>
    </row>
    <row r="168" ht="15.75" customHeight="1">
      <c r="A168" s="74"/>
      <c r="B168" s="61"/>
      <c r="C168" s="61"/>
      <c r="H168" s="62"/>
    </row>
    <row r="169" ht="15.75" customHeight="1">
      <c r="A169" s="74"/>
      <c r="B169" s="61"/>
      <c r="C169" s="61"/>
      <c r="H169" s="62"/>
    </row>
    <row r="170" ht="15.75" customHeight="1">
      <c r="A170" s="74"/>
      <c r="B170" s="61"/>
      <c r="C170" s="61"/>
      <c r="H170" s="62"/>
    </row>
    <row r="171" ht="15.75" customHeight="1">
      <c r="A171" s="74"/>
      <c r="B171" s="61"/>
      <c r="C171" s="61"/>
      <c r="H171" s="62"/>
    </row>
    <row r="172" ht="15.75" customHeight="1">
      <c r="A172" s="74"/>
      <c r="B172" s="61"/>
      <c r="C172" s="61"/>
      <c r="H172" s="62"/>
    </row>
    <row r="173" ht="15.75" customHeight="1">
      <c r="A173" s="74"/>
      <c r="B173" s="61"/>
      <c r="C173" s="61"/>
      <c r="H173" s="62"/>
    </row>
    <row r="174" ht="15.75" customHeight="1">
      <c r="A174" s="74"/>
      <c r="B174" s="61"/>
      <c r="C174" s="61"/>
      <c r="H174" s="62"/>
    </row>
    <row r="175" ht="15.75" customHeight="1">
      <c r="A175" s="74"/>
      <c r="B175" s="61"/>
      <c r="C175" s="61"/>
      <c r="H175" s="62"/>
    </row>
    <row r="176" ht="15.75" customHeight="1">
      <c r="A176" s="74"/>
      <c r="B176" s="61"/>
      <c r="C176" s="61"/>
      <c r="H176" s="62"/>
    </row>
    <row r="177" ht="15.75" customHeight="1">
      <c r="A177" s="74"/>
      <c r="B177" s="61"/>
      <c r="C177" s="61"/>
      <c r="H177" s="62"/>
    </row>
    <row r="178" ht="15.75" customHeight="1">
      <c r="A178" s="74"/>
      <c r="B178" s="61"/>
      <c r="C178" s="61"/>
      <c r="H178" s="62"/>
    </row>
    <row r="179" ht="15.75" customHeight="1">
      <c r="A179" s="74"/>
      <c r="B179" s="61"/>
      <c r="C179" s="61"/>
      <c r="H179" s="62"/>
    </row>
    <row r="180" ht="15.75" customHeight="1">
      <c r="A180" s="74"/>
      <c r="B180" s="61"/>
      <c r="C180" s="61"/>
      <c r="H180" s="62"/>
    </row>
    <row r="181" ht="15.75" customHeight="1">
      <c r="A181" s="74"/>
      <c r="B181" s="61"/>
      <c r="C181" s="61"/>
      <c r="H181" s="62"/>
    </row>
    <row r="182" ht="15.75" customHeight="1">
      <c r="A182" s="74"/>
      <c r="B182" s="61"/>
      <c r="C182" s="61"/>
      <c r="H182" s="62"/>
    </row>
    <row r="183" ht="15.75" customHeight="1">
      <c r="A183" s="74"/>
      <c r="B183" s="61"/>
      <c r="C183" s="61"/>
      <c r="H183" s="62"/>
    </row>
    <row r="184" ht="15.75" customHeight="1">
      <c r="A184" s="74"/>
      <c r="B184" s="61"/>
      <c r="C184" s="61"/>
      <c r="H184" s="62"/>
    </row>
    <row r="185" ht="15.75" customHeight="1">
      <c r="A185" s="74"/>
      <c r="B185" s="61"/>
      <c r="C185" s="61"/>
      <c r="H185" s="62"/>
    </row>
    <row r="186" ht="15.75" customHeight="1">
      <c r="A186" s="74"/>
      <c r="B186" s="61"/>
      <c r="C186" s="61"/>
      <c r="H186" s="62"/>
    </row>
    <row r="187" ht="15.75" customHeight="1">
      <c r="A187" s="74"/>
      <c r="B187" s="61"/>
      <c r="C187" s="61"/>
      <c r="H187" s="62"/>
    </row>
    <row r="188" ht="15.75" customHeight="1">
      <c r="A188" s="74"/>
      <c r="B188" s="61"/>
      <c r="C188" s="61"/>
      <c r="H188" s="62"/>
    </row>
    <row r="189" ht="15.75" customHeight="1">
      <c r="A189" s="74"/>
      <c r="B189" s="61"/>
      <c r="C189" s="61"/>
      <c r="H189" s="62"/>
    </row>
    <row r="190" ht="15.75" customHeight="1">
      <c r="A190" s="74"/>
      <c r="B190" s="61"/>
      <c r="C190" s="61"/>
      <c r="H190" s="62"/>
    </row>
    <row r="191" ht="15.75" customHeight="1">
      <c r="A191" s="74"/>
      <c r="B191" s="61"/>
      <c r="C191" s="61"/>
      <c r="H191" s="62"/>
    </row>
    <row r="192" ht="15.75" customHeight="1">
      <c r="A192" s="74"/>
      <c r="B192" s="61"/>
      <c r="C192" s="61"/>
      <c r="H192" s="62"/>
    </row>
    <row r="193" ht="15.75" customHeight="1">
      <c r="A193" s="74"/>
      <c r="B193" s="61"/>
      <c r="C193" s="61"/>
      <c r="H193" s="62"/>
    </row>
    <row r="194" ht="15.75" customHeight="1">
      <c r="A194" s="74"/>
      <c r="B194" s="61"/>
      <c r="C194" s="61"/>
      <c r="H194" s="62"/>
    </row>
    <row r="195" ht="15.75" customHeight="1">
      <c r="A195" s="74"/>
      <c r="B195" s="61"/>
      <c r="C195" s="61"/>
      <c r="H195" s="62"/>
    </row>
    <row r="196" ht="15.75" customHeight="1">
      <c r="A196" s="74"/>
      <c r="B196" s="61"/>
      <c r="C196" s="61"/>
      <c r="H196" s="62"/>
    </row>
    <row r="197" ht="15.75" customHeight="1">
      <c r="A197" s="74"/>
      <c r="B197" s="61"/>
      <c r="C197" s="61"/>
      <c r="H197" s="62"/>
    </row>
    <row r="198" ht="15.75" customHeight="1">
      <c r="A198" s="74"/>
      <c r="B198" s="61"/>
      <c r="C198" s="61"/>
      <c r="H198" s="62"/>
    </row>
    <row r="199" ht="15.75" customHeight="1">
      <c r="A199" s="74"/>
      <c r="B199" s="61"/>
      <c r="C199" s="61"/>
      <c r="H199" s="62"/>
    </row>
    <row r="200" ht="15.75" customHeight="1">
      <c r="A200" s="74"/>
      <c r="B200" s="61"/>
      <c r="C200" s="61"/>
      <c r="H200" s="62"/>
    </row>
    <row r="201" ht="15.75" customHeight="1">
      <c r="A201" s="74"/>
      <c r="B201" s="61"/>
      <c r="C201" s="61"/>
      <c r="H201" s="62"/>
    </row>
    <row r="202" ht="15.75" customHeight="1">
      <c r="A202" s="74"/>
      <c r="B202" s="61"/>
      <c r="C202" s="61"/>
      <c r="H202" s="62"/>
    </row>
    <row r="203" ht="15.75" customHeight="1">
      <c r="A203" s="74"/>
      <c r="B203" s="61"/>
      <c r="C203" s="61"/>
      <c r="H203" s="62"/>
    </row>
    <row r="204" ht="15.75" customHeight="1">
      <c r="A204" s="74"/>
      <c r="B204" s="61"/>
      <c r="C204" s="61"/>
      <c r="H204" s="62"/>
    </row>
    <row r="205" ht="15.75" customHeight="1">
      <c r="A205" s="74"/>
      <c r="B205" s="61"/>
      <c r="C205" s="61"/>
      <c r="H205" s="62"/>
    </row>
    <row r="206" ht="15.75" customHeight="1">
      <c r="A206" s="74"/>
      <c r="B206" s="61"/>
      <c r="C206" s="61"/>
      <c r="H206" s="62"/>
    </row>
    <row r="207" ht="15.75" customHeight="1">
      <c r="A207" s="74"/>
      <c r="B207" s="61"/>
      <c r="C207" s="61"/>
      <c r="H207" s="62"/>
    </row>
    <row r="208" ht="15.75" customHeight="1">
      <c r="A208" s="74"/>
      <c r="B208" s="61"/>
      <c r="C208" s="61"/>
      <c r="H208" s="62"/>
    </row>
    <row r="209" ht="15.75" customHeight="1">
      <c r="A209" s="74"/>
      <c r="B209" s="61"/>
      <c r="C209" s="61"/>
      <c r="H209" s="62"/>
    </row>
    <row r="210" ht="15.75" customHeight="1">
      <c r="A210" s="74"/>
      <c r="B210" s="61"/>
      <c r="C210" s="61"/>
      <c r="H210" s="62"/>
    </row>
    <row r="211" ht="15.75" customHeight="1">
      <c r="A211" s="74"/>
      <c r="B211" s="61"/>
      <c r="C211" s="61"/>
      <c r="H211" s="62"/>
    </row>
    <row r="212" ht="15.75" customHeight="1">
      <c r="A212" s="74"/>
      <c r="B212" s="61"/>
      <c r="C212" s="61"/>
      <c r="H212" s="62"/>
    </row>
    <row r="213" ht="15.75" customHeight="1">
      <c r="A213" s="74"/>
      <c r="B213" s="61"/>
      <c r="C213" s="61"/>
      <c r="H213" s="62"/>
    </row>
    <row r="214" ht="15.75" customHeight="1">
      <c r="A214" s="74"/>
      <c r="B214" s="61"/>
      <c r="C214" s="61"/>
      <c r="H214" s="62"/>
    </row>
    <row r="215" ht="15.75" customHeight="1">
      <c r="A215" s="74"/>
      <c r="B215" s="61"/>
      <c r="C215" s="61"/>
      <c r="H215" s="62"/>
    </row>
    <row r="216" ht="15.75" customHeight="1">
      <c r="A216" s="74"/>
      <c r="B216" s="61"/>
      <c r="C216" s="61"/>
      <c r="H216" s="62"/>
    </row>
    <row r="217" ht="15.75" customHeight="1">
      <c r="A217" s="74"/>
      <c r="B217" s="61"/>
      <c r="C217" s="61"/>
      <c r="H217" s="62"/>
    </row>
    <row r="218" ht="15.75" customHeight="1">
      <c r="A218" s="74"/>
      <c r="B218" s="61"/>
      <c r="C218" s="61"/>
      <c r="H218" s="62"/>
    </row>
    <row r="219" ht="15.75" customHeight="1">
      <c r="A219" s="74"/>
      <c r="B219" s="61"/>
      <c r="C219" s="61"/>
      <c r="H219" s="62"/>
    </row>
    <row r="220" ht="15.75" customHeight="1">
      <c r="A220" s="74"/>
      <c r="B220" s="61"/>
      <c r="C220" s="61"/>
      <c r="H220" s="62"/>
    </row>
    <row r="221" ht="15.75" customHeight="1">
      <c r="A221" s="74"/>
      <c r="B221" s="61"/>
      <c r="C221" s="61"/>
      <c r="H221" s="62"/>
    </row>
    <row r="222" ht="15.75" customHeight="1">
      <c r="A222" s="74"/>
      <c r="B222" s="61"/>
      <c r="C222" s="61"/>
      <c r="H222" s="62"/>
    </row>
    <row r="223" ht="15.75" customHeight="1">
      <c r="A223" s="74"/>
      <c r="B223" s="61"/>
      <c r="C223" s="61"/>
      <c r="H223" s="62"/>
    </row>
    <row r="224" ht="15.75" customHeight="1">
      <c r="A224" s="74"/>
      <c r="B224" s="61"/>
      <c r="C224" s="61"/>
      <c r="H224" s="62"/>
    </row>
    <row r="225" ht="15.75" customHeight="1">
      <c r="A225" s="74"/>
      <c r="B225" s="61"/>
      <c r="C225" s="61"/>
      <c r="H225" s="62"/>
    </row>
    <row r="226" ht="15.75" customHeight="1">
      <c r="A226" s="74"/>
      <c r="B226" s="61"/>
      <c r="C226" s="61"/>
      <c r="H226" s="62"/>
    </row>
    <row r="227" ht="15.75" customHeight="1">
      <c r="A227" s="74"/>
      <c r="B227" s="61"/>
      <c r="C227" s="61"/>
      <c r="H227" s="62"/>
    </row>
    <row r="228" ht="15.75" customHeight="1">
      <c r="A228" s="74"/>
      <c r="B228" s="61"/>
      <c r="C228" s="61"/>
      <c r="H228" s="62"/>
    </row>
    <row r="229" ht="15.75" customHeight="1">
      <c r="A229" s="74"/>
      <c r="B229" s="61"/>
      <c r="C229" s="61"/>
      <c r="H229" s="62"/>
    </row>
    <row r="230" ht="15.75" customHeight="1">
      <c r="A230" s="74"/>
      <c r="B230" s="61"/>
      <c r="C230" s="61"/>
      <c r="H230" s="62"/>
    </row>
    <row r="231" ht="15.75" customHeight="1">
      <c r="A231" s="74"/>
      <c r="B231" s="61"/>
      <c r="C231" s="61"/>
      <c r="H231" s="62"/>
    </row>
    <row r="232" ht="15.75" customHeight="1">
      <c r="A232" s="74"/>
      <c r="B232" s="61"/>
      <c r="C232" s="61"/>
      <c r="H232" s="62"/>
    </row>
    <row r="233" ht="15.75" customHeight="1">
      <c r="A233" s="74"/>
      <c r="B233" s="61"/>
      <c r="C233" s="61"/>
      <c r="H233" s="62"/>
    </row>
    <row r="234" ht="15.75" customHeight="1">
      <c r="A234" s="74"/>
      <c r="B234" s="61"/>
      <c r="C234" s="61"/>
      <c r="H234" s="62"/>
    </row>
    <row r="235" ht="15.75" customHeight="1">
      <c r="A235" s="74"/>
      <c r="B235" s="61"/>
      <c r="C235" s="61"/>
      <c r="H235" s="62"/>
    </row>
    <row r="236" ht="15.75" customHeight="1">
      <c r="A236" s="74"/>
      <c r="B236" s="61"/>
      <c r="C236" s="61"/>
      <c r="H236" s="62"/>
    </row>
    <row r="237" ht="15.75" customHeight="1">
      <c r="A237" s="74"/>
      <c r="B237" s="61"/>
      <c r="C237" s="61"/>
      <c r="H237" s="62"/>
    </row>
    <row r="238" ht="15.75" customHeight="1">
      <c r="A238" s="74"/>
      <c r="B238" s="61"/>
      <c r="C238" s="61"/>
      <c r="H238" s="62"/>
    </row>
    <row r="239" ht="15.75" customHeight="1">
      <c r="A239" s="74"/>
      <c r="B239" s="61"/>
      <c r="C239" s="61"/>
      <c r="H239" s="62"/>
    </row>
    <row r="240" ht="15.75" customHeight="1">
      <c r="A240" s="74"/>
      <c r="B240" s="61"/>
      <c r="C240" s="61"/>
      <c r="H240" s="62"/>
    </row>
    <row r="241" ht="15.75" customHeight="1">
      <c r="A241" s="74"/>
      <c r="B241" s="61"/>
      <c r="C241" s="61"/>
      <c r="H241" s="62"/>
    </row>
    <row r="242" ht="15.75" customHeight="1">
      <c r="A242" s="74"/>
      <c r="B242" s="61"/>
      <c r="C242" s="61"/>
      <c r="H242" s="6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4">
    <mergeCell ref="A2:A10"/>
    <mergeCell ref="B2:B5"/>
    <mergeCell ref="B6:B10"/>
    <mergeCell ref="A11:C11"/>
    <mergeCell ref="A12:A16"/>
    <mergeCell ref="B12:B13"/>
    <mergeCell ref="B14:B16"/>
    <mergeCell ref="A17:C17"/>
    <mergeCell ref="A18:A21"/>
    <mergeCell ref="B18:B20"/>
    <mergeCell ref="A22:C22"/>
    <mergeCell ref="A23:A27"/>
    <mergeCell ref="B23:B24"/>
    <mergeCell ref="B25:B27"/>
    <mergeCell ref="A28:C28"/>
    <mergeCell ref="A29:A31"/>
    <mergeCell ref="B29:B30"/>
    <mergeCell ref="A32:C32"/>
    <mergeCell ref="A33:A34"/>
    <mergeCell ref="A35:C35"/>
    <mergeCell ref="A36:A41"/>
    <mergeCell ref="B36:B39"/>
    <mergeCell ref="B40:B41"/>
    <mergeCell ref="A42:C4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E90065-0059-41E2-A448-00A100CA00BD}">
            <xm:f>"D6"</xm:f>
            <x14:dxf>
              <fill>
                <patternFill patternType="solid">
                  <fgColor rgb="FFFF6D01"/>
                  <bgColor rgb="FFFF6D01"/>
                </patternFill>
              </fill>
            </x14:dxf>
          </x14:cfRule>
          <xm:sqref>D3:G3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2006F-0074-4518-B4D8-00850000002B}" type="list" allowBlank="1" errorStyle="stop" imeMode="noControl" operator="between" showDropDown="0" showErrorMessage="0" showInputMessage="0">
          <x14:formula1>
            <xm:f>"0,1,2"</xm:f>
          </x14:formula1>
          <xm:sqref>H2:H5 H18:H20 H23:H24 H29:H31 H34 H36:H39</xm:sqref>
        </x14:dataValidation>
        <x14:dataValidation xr:uid="{0067007F-0027-4BAB-A558-00A5007B00FE}" type="list" allowBlank="1" errorStyle="stop" imeMode="noControl" operator="between" showDropDown="0" showErrorMessage="1" showInputMessage="0">
          <x14:formula1>
            <xm:f>"0,1,2"</xm:f>
          </x14:formula1>
          <xm:sqref>D2:G5 D6:H10 D12:H16 D18:G20 D23:G24 D25:H27 D29:G31 D34:G34 D36:G39 D40:H41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B1" zoomScale="115" workbookViewId="0">
      <selection activeCell="C47" activeCellId="0" sqref="C47"/>
    </sheetView>
  </sheetViews>
  <sheetFormatPr defaultColWidth="12.6640625" defaultRowHeight="15" customHeight="1"/>
  <cols>
    <col customWidth="1" min="1" max="1" width="5.33203125"/>
    <col customWidth="1" min="2" max="2" width="3"/>
    <col customWidth="1" min="3" max="3" width="59.5546875"/>
    <col customWidth="1" min="4" max="4" width="13.21875"/>
    <col customWidth="1" min="5" max="7" style="10" width="13.21875"/>
    <col customWidth="1" min="8" max="8" width="13.44140625"/>
    <col customWidth="1" min="9" max="9" width="20"/>
    <col customWidth="1" min="11" max="11" width="16.109375"/>
  </cols>
  <sheetData>
    <row r="1" ht="25.5">
      <c r="A1" s="11"/>
      <c r="B1" s="12"/>
      <c r="C1" s="12" t="s">
        <v>24</v>
      </c>
      <c r="D1" s="77" t="s">
        <v>25</v>
      </c>
      <c r="E1" s="13" t="s">
        <v>26</v>
      </c>
      <c r="F1" s="13" t="s">
        <v>27</v>
      </c>
      <c r="G1" s="13" t="s">
        <v>28</v>
      </c>
      <c r="H1" s="13" t="s">
        <v>77</v>
      </c>
      <c r="I1" s="77" t="s">
        <v>30</v>
      </c>
    </row>
    <row r="2" ht="25.5">
      <c r="A2" s="14" t="s">
        <v>31</v>
      </c>
      <c r="B2" s="15" t="s">
        <v>7</v>
      </c>
      <c r="C2" s="78" t="s">
        <v>36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79"/>
    </row>
    <row r="3" ht="25.5">
      <c r="A3" s="80"/>
      <c r="B3" s="29"/>
      <c r="C3" s="78" t="s">
        <v>37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81"/>
    </row>
    <row r="4" ht="25.5">
      <c r="A4" s="82"/>
      <c r="B4" s="83"/>
      <c r="C4" s="78" t="s">
        <v>38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84"/>
    </row>
    <row r="5" ht="25.5">
      <c r="A5" s="82"/>
      <c r="B5" s="83"/>
      <c r="C5" s="78" t="s">
        <v>39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84"/>
    </row>
    <row r="6" ht="13.199999999999999">
      <c r="A6" s="82"/>
      <c r="B6" s="85"/>
      <c r="C6" s="78" t="s">
        <v>40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86"/>
    </row>
    <row r="7" ht="25.5">
      <c r="A7" s="82"/>
      <c r="B7" s="15" t="s">
        <v>10</v>
      </c>
      <c r="C7" s="16" t="s">
        <v>78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79"/>
    </row>
    <row r="8" ht="25.5">
      <c r="A8" s="82"/>
      <c r="B8" s="29"/>
      <c r="C8" s="30" t="s">
        <v>79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81"/>
    </row>
    <row r="9" ht="38.25">
      <c r="A9" s="82"/>
      <c r="B9" s="83"/>
      <c r="C9" s="21" t="s">
        <v>80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84"/>
    </row>
    <row r="10" ht="25.5">
      <c r="A10" s="87"/>
      <c r="B10" s="85"/>
      <c r="C10" s="24" t="s">
        <v>81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84"/>
    </row>
    <row r="11" ht="15.75" customHeight="1">
      <c r="A11" s="34" t="s">
        <v>41</v>
      </c>
      <c r="B11" s="10"/>
      <c r="C11" s="88"/>
      <c r="D11" s="89">
        <f>AVERAGE(D2:D10)</f>
        <v>0</v>
      </c>
      <c r="E11" s="89">
        <f>AVERAGE(E2:E10)</f>
        <v>0</v>
      </c>
      <c r="F11" s="89">
        <f>AVERAGE(F2:F10)</f>
        <v>0</v>
      </c>
      <c r="G11" s="89">
        <f>AVERAGE(G2:G10)</f>
        <v>0</v>
      </c>
      <c r="H11" s="89">
        <f>AVERAGE(H2:H10)</f>
        <v>0</v>
      </c>
      <c r="I11" s="90"/>
    </row>
    <row r="12" ht="25.5">
      <c r="A12" s="38" t="s">
        <v>42</v>
      </c>
      <c r="B12" s="15" t="s">
        <v>7</v>
      </c>
      <c r="C12" s="78" t="s">
        <v>45</v>
      </c>
      <c r="D12" s="91">
        <v>0</v>
      </c>
      <c r="E12" s="91">
        <v>0</v>
      </c>
      <c r="F12" s="91">
        <v>0</v>
      </c>
      <c r="G12" s="91">
        <v>0</v>
      </c>
      <c r="H12" s="17">
        <v>0</v>
      </c>
      <c r="I12" s="79"/>
    </row>
    <row r="13" ht="38.25">
      <c r="A13" s="82"/>
      <c r="B13" s="83"/>
      <c r="C13" s="40" t="s">
        <v>46</v>
      </c>
      <c r="D13" s="92">
        <v>0</v>
      </c>
      <c r="E13" s="92">
        <v>0</v>
      </c>
      <c r="F13" s="92">
        <v>0</v>
      </c>
      <c r="G13" s="92">
        <v>0</v>
      </c>
      <c r="H13" s="41"/>
      <c r="I13" s="93"/>
    </row>
    <row r="14" ht="25.5">
      <c r="A14" s="82"/>
      <c r="B14" s="85"/>
      <c r="C14" s="78" t="s">
        <v>47</v>
      </c>
      <c r="D14" s="94">
        <v>0</v>
      </c>
      <c r="E14" s="94">
        <v>0</v>
      </c>
      <c r="F14" s="94">
        <v>0</v>
      </c>
      <c r="G14" s="94">
        <v>0</v>
      </c>
      <c r="H14" s="27">
        <v>0</v>
      </c>
      <c r="I14" s="86"/>
    </row>
    <row r="15" ht="25.5">
      <c r="A15" s="82"/>
      <c r="B15" s="15" t="s">
        <v>10</v>
      </c>
      <c r="C15" s="16" t="s">
        <v>82</v>
      </c>
      <c r="D15" s="91">
        <v>0</v>
      </c>
      <c r="E15" s="91">
        <v>0</v>
      </c>
      <c r="F15" s="91">
        <v>0</v>
      </c>
      <c r="G15" s="91">
        <v>0</v>
      </c>
      <c r="H15" s="91">
        <v>0</v>
      </c>
      <c r="I15" s="79"/>
      <c r="K15" s="43" t="s">
        <v>24</v>
      </c>
      <c r="L15" s="44" t="s">
        <v>48</v>
      </c>
      <c r="M15" s="43" t="s">
        <v>49</v>
      </c>
      <c r="N15" s="43" t="s">
        <v>7</v>
      </c>
      <c r="O15" s="43" t="s">
        <v>10</v>
      </c>
    </row>
    <row r="16" ht="25.5">
      <c r="A16" s="82"/>
      <c r="B16" s="83"/>
      <c r="C16" s="24" t="s">
        <v>83</v>
      </c>
      <c r="D16" s="95">
        <v>0</v>
      </c>
      <c r="E16" s="95">
        <v>0</v>
      </c>
      <c r="F16" s="95">
        <v>0</v>
      </c>
      <c r="G16" s="95">
        <v>0</v>
      </c>
      <c r="H16" s="95">
        <v>0</v>
      </c>
      <c r="I16" s="84"/>
      <c r="K16" s="46" t="s">
        <v>31</v>
      </c>
      <c r="L16" s="47">
        <f>D11</f>
        <v>0</v>
      </c>
      <c r="M16" s="48">
        <f t="shared" ref="M16:M22" si="8">N16+(2-N16)*0.7</f>
        <v>1.7333333333333334</v>
      </c>
      <c r="N16" s="48">
        <f>2*5/9</f>
        <v>1.1111111111111112</v>
      </c>
      <c r="O16" s="49">
        <v>2</v>
      </c>
    </row>
    <row r="17" ht="25.5">
      <c r="A17" s="82"/>
      <c r="B17" s="83"/>
      <c r="C17" s="24" t="s">
        <v>84</v>
      </c>
      <c r="D17" s="95">
        <v>0</v>
      </c>
      <c r="E17" s="95">
        <v>0</v>
      </c>
      <c r="F17" s="95">
        <v>0</v>
      </c>
      <c r="G17" s="95">
        <v>0</v>
      </c>
      <c r="H17" s="95">
        <v>0</v>
      </c>
      <c r="I17" s="84"/>
      <c r="K17" s="50" t="s">
        <v>42</v>
      </c>
      <c r="L17" s="47">
        <f>D24</f>
        <v>0</v>
      </c>
      <c r="M17" s="48">
        <f t="shared" si="8"/>
        <v>1.5499999999999998</v>
      </c>
      <c r="N17" s="48">
        <f>2*3/12</f>
        <v>0.5</v>
      </c>
      <c r="O17" s="49">
        <v>2</v>
      </c>
    </row>
    <row r="18" ht="25.5">
      <c r="A18" s="82"/>
      <c r="B18" s="83"/>
      <c r="C18" s="24" t="s">
        <v>85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84"/>
      <c r="K18" s="43" t="s">
        <v>54</v>
      </c>
      <c r="L18" s="47">
        <f>D30</f>
        <v>0</v>
      </c>
      <c r="M18" s="48">
        <f t="shared" si="8"/>
        <v>1.7599999999999998</v>
      </c>
      <c r="N18" s="48">
        <f>2*3/5</f>
        <v>1.2</v>
      </c>
      <c r="O18" s="49">
        <v>2</v>
      </c>
    </row>
    <row r="19" ht="25.5">
      <c r="A19" s="82"/>
      <c r="B19" s="83"/>
      <c r="C19" s="24" t="s">
        <v>86</v>
      </c>
      <c r="D19" s="95">
        <v>0</v>
      </c>
      <c r="E19" s="95">
        <v>0</v>
      </c>
      <c r="F19" s="95">
        <v>0</v>
      </c>
      <c r="G19" s="95">
        <v>0</v>
      </c>
      <c r="H19" s="95">
        <v>0</v>
      </c>
      <c r="I19" s="84"/>
      <c r="K19" s="55" t="s">
        <v>56</v>
      </c>
      <c r="L19" s="47">
        <f>'E5-&gt;E6'!M24</f>
        <v>0</v>
      </c>
      <c r="M19" s="48">
        <f t="shared" si="8"/>
        <v>1.7</v>
      </c>
      <c r="N19" s="48">
        <f>2*3/6</f>
        <v>1</v>
      </c>
      <c r="O19" s="49">
        <v>2</v>
      </c>
    </row>
    <row r="20" ht="25.5">
      <c r="A20" s="82"/>
      <c r="B20" s="83"/>
      <c r="C20" s="24" t="s">
        <v>87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84"/>
      <c r="K20" s="56" t="s">
        <v>57</v>
      </c>
      <c r="L20" s="47">
        <f>D42</f>
        <v>0</v>
      </c>
      <c r="M20" s="48">
        <f t="shared" si="8"/>
        <v>1.5499999999999998</v>
      </c>
      <c r="N20" s="48">
        <f>2*1/4</f>
        <v>0.5</v>
      </c>
      <c r="O20" s="49">
        <v>2</v>
      </c>
    </row>
    <row r="21" ht="25.5">
      <c r="A21" s="82"/>
      <c r="B21" s="83"/>
      <c r="C21" s="24" t="s">
        <v>88</v>
      </c>
      <c r="D21" s="95">
        <v>0</v>
      </c>
      <c r="E21" s="95">
        <v>0</v>
      </c>
      <c r="F21" s="95">
        <v>0</v>
      </c>
      <c r="G21" s="95">
        <v>0</v>
      </c>
      <c r="H21" s="95">
        <v>0</v>
      </c>
      <c r="I21" s="84"/>
      <c r="K21" s="58" t="s">
        <v>59</v>
      </c>
      <c r="L21" s="47">
        <f>D48</f>
        <v>0</v>
      </c>
      <c r="M21" s="48">
        <f t="shared" si="8"/>
        <v>1.52</v>
      </c>
      <c r="N21" s="48">
        <f>2*1/5</f>
        <v>0.40000000000000002</v>
      </c>
      <c r="O21" s="49">
        <v>2</v>
      </c>
    </row>
    <row r="22" ht="25.5">
      <c r="A22" s="82"/>
      <c r="B22" s="83"/>
      <c r="C22" s="24" t="s">
        <v>89</v>
      </c>
      <c r="D22" s="95">
        <v>0</v>
      </c>
      <c r="E22" s="95">
        <v>0</v>
      </c>
      <c r="F22" s="95">
        <v>0</v>
      </c>
      <c r="G22" s="95">
        <v>0</v>
      </c>
      <c r="H22" s="95">
        <v>0</v>
      </c>
      <c r="I22" s="84"/>
      <c r="K22" s="59" t="s">
        <v>61</v>
      </c>
      <c r="L22" s="47">
        <f>D52</f>
        <v>0</v>
      </c>
      <c r="M22" s="48">
        <f t="shared" si="8"/>
        <v>1.7999999999999998</v>
      </c>
      <c r="N22" s="48">
        <f>2*2/3</f>
        <v>1.3333333333333333</v>
      </c>
      <c r="O22" s="49">
        <v>2</v>
      </c>
    </row>
    <row r="23" ht="38.25">
      <c r="A23" s="87"/>
      <c r="B23" s="85"/>
      <c r="C23" s="26" t="s">
        <v>90</v>
      </c>
      <c r="D23" s="94">
        <v>0</v>
      </c>
      <c r="E23" s="94">
        <v>0</v>
      </c>
      <c r="F23" s="94">
        <v>0</v>
      </c>
      <c r="G23" s="94">
        <v>0</v>
      </c>
      <c r="H23" s="94">
        <v>0</v>
      </c>
      <c r="I23" s="86"/>
    </row>
    <row r="24" ht="15.75" customHeight="1">
      <c r="A24" s="34" t="s">
        <v>41</v>
      </c>
      <c r="B24" s="10"/>
      <c r="C24" s="88"/>
      <c r="D24" s="36">
        <f>AVERAGE(D12:D23)</f>
        <v>0</v>
      </c>
      <c r="E24" s="36">
        <f t="shared" ref="E24:F24" si="9">AVERAGE(E12:E23)</f>
        <v>0</v>
      </c>
      <c r="F24" s="36">
        <f t="shared" si="9"/>
        <v>0</v>
      </c>
      <c r="G24" s="36">
        <f>AVERAGE(G12:G23)</f>
        <v>0</v>
      </c>
      <c r="H24" s="36">
        <f>AVERAGE(H12:H23)</f>
        <v>0</v>
      </c>
      <c r="I24" s="90"/>
    </row>
    <row r="25" ht="25.5">
      <c r="A25" s="45" t="s">
        <v>50</v>
      </c>
      <c r="B25" s="15" t="s">
        <v>7</v>
      </c>
      <c r="C25" s="78" t="s">
        <v>91</v>
      </c>
      <c r="D25" s="91">
        <v>0</v>
      </c>
      <c r="E25" s="91">
        <v>0</v>
      </c>
      <c r="F25" s="91">
        <v>0</v>
      </c>
      <c r="G25" s="91">
        <v>0</v>
      </c>
      <c r="H25" s="17">
        <v>0</v>
      </c>
      <c r="I25" s="79"/>
    </row>
    <row r="26" ht="51">
      <c r="A26" s="82"/>
      <c r="B26" s="83"/>
      <c r="C26" s="78" t="s">
        <v>92</v>
      </c>
      <c r="D26" s="95">
        <v>0</v>
      </c>
      <c r="E26" s="95">
        <v>0</v>
      </c>
      <c r="F26" s="95">
        <v>0</v>
      </c>
      <c r="G26" s="95">
        <v>0</v>
      </c>
      <c r="H26" s="22">
        <v>0</v>
      </c>
      <c r="I26" s="84"/>
    </row>
    <row r="27" ht="13.199999999999999">
      <c r="A27" s="82"/>
      <c r="B27" s="85"/>
      <c r="C27" s="78" t="s">
        <v>93</v>
      </c>
      <c r="D27" s="94">
        <v>0</v>
      </c>
      <c r="E27" s="94">
        <v>0</v>
      </c>
      <c r="F27" s="94">
        <v>0</v>
      </c>
      <c r="G27" s="94">
        <v>0</v>
      </c>
      <c r="H27" s="27">
        <v>0</v>
      </c>
      <c r="I27" s="86"/>
    </row>
    <row r="28" ht="25.5">
      <c r="A28" s="82"/>
      <c r="B28" s="15" t="s">
        <v>10</v>
      </c>
      <c r="C28" s="16" t="s">
        <v>94</v>
      </c>
      <c r="D28" s="91">
        <v>0</v>
      </c>
      <c r="E28" s="91">
        <v>0</v>
      </c>
      <c r="F28" s="91">
        <v>0</v>
      </c>
      <c r="G28" s="91">
        <v>0</v>
      </c>
      <c r="H28" s="91">
        <v>0</v>
      </c>
      <c r="I28" s="79"/>
    </row>
    <row r="29" ht="25.5">
      <c r="A29" s="87"/>
      <c r="B29" s="85"/>
      <c r="C29" s="26" t="s">
        <v>95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86"/>
    </row>
    <row r="30" ht="15.75" customHeight="1">
      <c r="A30" s="34" t="s">
        <v>41</v>
      </c>
      <c r="B30" s="10"/>
      <c r="C30" s="88"/>
      <c r="D30" s="36">
        <f t="shared" ref="D30:H30" si="10">AVERAGE(D25:D29)</f>
        <v>0</v>
      </c>
      <c r="E30" s="36">
        <f t="shared" si="10"/>
        <v>0</v>
      </c>
      <c r="F30" s="36">
        <f t="shared" si="10"/>
        <v>0</v>
      </c>
      <c r="G30" s="36">
        <f t="shared" si="10"/>
        <v>0</v>
      </c>
      <c r="H30" s="36">
        <f t="shared" si="10"/>
        <v>0</v>
      </c>
      <c r="I30" s="90"/>
    </row>
    <row r="31" ht="25.5">
      <c r="A31" s="57" t="s">
        <v>56</v>
      </c>
      <c r="B31" s="15" t="s">
        <v>7</v>
      </c>
      <c r="C31" s="78" t="s">
        <v>62</v>
      </c>
      <c r="D31" s="91">
        <v>0</v>
      </c>
      <c r="E31" s="91">
        <v>0</v>
      </c>
      <c r="F31" s="91">
        <v>0</v>
      </c>
      <c r="G31" s="91">
        <v>0</v>
      </c>
      <c r="H31" s="91">
        <v>0</v>
      </c>
      <c r="I31" s="79"/>
    </row>
    <row r="32" ht="25.5">
      <c r="A32" s="82"/>
      <c r="B32" s="83"/>
      <c r="C32" s="78" t="s">
        <v>63</v>
      </c>
      <c r="D32" s="95">
        <v>0</v>
      </c>
      <c r="E32" s="95">
        <v>0</v>
      </c>
      <c r="F32" s="95">
        <v>0</v>
      </c>
      <c r="G32" s="95">
        <v>0</v>
      </c>
      <c r="H32" s="95">
        <v>0</v>
      </c>
      <c r="I32" s="84"/>
    </row>
    <row r="33" ht="25.5">
      <c r="A33" s="82"/>
      <c r="B33" s="85"/>
      <c r="C33" s="78" t="s">
        <v>64</v>
      </c>
      <c r="D33" s="94">
        <v>0</v>
      </c>
      <c r="E33" s="94">
        <v>0</v>
      </c>
      <c r="F33" s="94">
        <v>0</v>
      </c>
      <c r="G33" s="94">
        <v>0</v>
      </c>
      <c r="H33" s="94">
        <v>0</v>
      </c>
      <c r="I33" s="86"/>
    </row>
    <row r="34" ht="25.5">
      <c r="A34" s="82"/>
      <c r="B34" s="15" t="s">
        <v>10</v>
      </c>
      <c r="C34" s="16" t="s">
        <v>96</v>
      </c>
      <c r="D34" s="91">
        <v>0</v>
      </c>
      <c r="E34" s="91">
        <v>0</v>
      </c>
      <c r="F34" s="91">
        <v>0</v>
      </c>
      <c r="G34" s="91">
        <v>0</v>
      </c>
      <c r="H34" s="91">
        <v>0</v>
      </c>
      <c r="I34" s="79"/>
    </row>
    <row r="35" ht="13.199999999999999">
      <c r="A35" s="82"/>
      <c r="B35" s="83"/>
      <c r="C35" s="24" t="s">
        <v>97</v>
      </c>
      <c r="D35" s="95">
        <v>0</v>
      </c>
      <c r="E35" s="95">
        <v>0</v>
      </c>
      <c r="F35" s="95">
        <v>0</v>
      </c>
      <c r="G35" s="95">
        <v>0</v>
      </c>
      <c r="H35" s="95">
        <v>0</v>
      </c>
      <c r="I35" s="84"/>
    </row>
    <row r="36" ht="51">
      <c r="A36" s="87"/>
      <c r="B36" s="85"/>
      <c r="C36" s="39" t="s">
        <v>98</v>
      </c>
      <c r="D36" s="94">
        <v>0</v>
      </c>
      <c r="E36" s="94">
        <v>0</v>
      </c>
      <c r="F36" s="94">
        <v>0</v>
      </c>
      <c r="G36" s="94">
        <v>0</v>
      </c>
      <c r="H36" s="94">
        <v>0</v>
      </c>
      <c r="I36" s="86"/>
    </row>
    <row r="37" ht="15.75" customHeight="1">
      <c r="A37" s="34" t="s">
        <v>41</v>
      </c>
      <c r="B37" s="10"/>
      <c r="C37" s="88"/>
      <c r="D37" s="36">
        <f t="shared" ref="D37:H37" si="11">AVERAGE(D31:D36)</f>
        <v>0</v>
      </c>
      <c r="E37" s="36">
        <f t="shared" si="11"/>
        <v>0</v>
      </c>
      <c r="F37" s="36">
        <f t="shared" si="11"/>
        <v>0</v>
      </c>
      <c r="G37" s="36">
        <f t="shared" si="11"/>
        <v>0</v>
      </c>
      <c r="H37" s="36">
        <f t="shared" si="11"/>
        <v>0</v>
      </c>
      <c r="I37" s="90"/>
    </row>
    <row r="38" ht="25.5">
      <c r="A38" s="60" t="s">
        <v>57</v>
      </c>
      <c r="B38" s="51" t="s">
        <v>7</v>
      </c>
      <c r="C38" s="53" t="s">
        <v>99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7"/>
    </row>
    <row r="39" ht="13.199999999999999">
      <c r="A39" s="82"/>
      <c r="B39" s="15" t="s">
        <v>10</v>
      </c>
      <c r="C39" s="16" t="s">
        <v>100</v>
      </c>
      <c r="D39" s="91">
        <v>0</v>
      </c>
      <c r="E39" s="91">
        <v>0</v>
      </c>
      <c r="F39" s="91">
        <v>0</v>
      </c>
      <c r="G39" s="91">
        <v>0</v>
      </c>
      <c r="H39" s="91">
        <v>0</v>
      </c>
      <c r="I39" s="79"/>
    </row>
    <row r="40" ht="13.199999999999999">
      <c r="A40" s="82"/>
      <c r="B40" s="83"/>
      <c r="C40" s="24" t="s">
        <v>101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84"/>
    </row>
    <row r="41" ht="25.5">
      <c r="A41" s="87"/>
      <c r="B41" s="85"/>
      <c r="C41" s="39" t="s">
        <v>102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86"/>
    </row>
    <row r="42" ht="15.75" customHeight="1">
      <c r="A42" s="34" t="s">
        <v>41</v>
      </c>
      <c r="B42" s="10"/>
      <c r="C42" s="88"/>
      <c r="D42" s="36">
        <f t="shared" ref="D42:H42" si="12">AVERAGE(D38:D41)</f>
        <v>0</v>
      </c>
      <c r="E42" s="36">
        <f t="shared" si="12"/>
        <v>0</v>
      </c>
      <c r="F42" s="36">
        <f t="shared" si="12"/>
        <v>0</v>
      </c>
      <c r="G42" s="36">
        <f t="shared" si="12"/>
        <v>0</v>
      </c>
      <c r="H42" s="36">
        <f t="shared" si="12"/>
        <v>0</v>
      </c>
      <c r="I42" s="90"/>
    </row>
    <row r="43" ht="26.399999999999999">
      <c r="A43" s="65" t="s">
        <v>59</v>
      </c>
      <c r="B43" s="51" t="s">
        <v>7</v>
      </c>
      <c r="C43" s="53" t="s">
        <v>69</v>
      </c>
      <c r="D43" s="96">
        <v>0</v>
      </c>
      <c r="E43" s="96">
        <v>0</v>
      </c>
      <c r="F43" s="96">
        <v>0</v>
      </c>
      <c r="G43" s="96">
        <v>0</v>
      </c>
      <c r="H43" s="96">
        <v>0</v>
      </c>
      <c r="I43" s="97"/>
    </row>
    <row r="44" ht="25.5">
      <c r="A44" s="82"/>
      <c r="B44" s="15" t="s">
        <v>10</v>
      </c>
      <c r="C44" s="16" t="s">
        <v>103</v>
      </c>
      <c r="D44" s="91">
        <v>0</v>
      </c>
      <c r="E44" s="91">
        <v>0</v>
      </c>
      <c r="F44" s="91">
        <v>0</v>
      </c>
      <c r="G44" s="91">
        <v>0</v>
      </c>
      <c r="H44" s="91">
        <v>0</v>
      </c>
      <c r="I44" s="79"/>
    </row>
    <row r="45" ht="13.199999999999999">
      <c r="A45" s="82"/>
      <c r="B45" s="83"/>
      <c r="C45" s="24" t="s">
        <v>104</v>
      </c>
      <c r="D45" s="95">
        <v>0</v>
      </c>
      <c r="E45" s="95">
        <v>0</v>
      </c>
      <c r="F45" s="95">
        <v>0</v>
      </c>
      <c r="G45" s="95">
        <v>0</v>
      </c>
      <c r="H45" s="95">
        <v>0</v>
      </c>
      <c r="I45" s="84"/>
    </row>
    <row r="46" ht="51">
      <c r="A46" s="82"/>
      <c r="B46" s="83"/>
      <c r="C46" s="24" t="s">
        <v>105</v>
      </c>
      <c r="D46" s="95">
        <v>0</v>
      </c>
      <c r="E46" s="95">
        <v>0</v>
      </c>
      <c r="F46" s="95">
        <v>0</v>
      </c>
      <c r="G46" s="95">
        <v>0</v>
      </c>
      <c r="H46" s="95">
        <v>0</v>
      </c>
      <c r="I46" s="84"/>
    </row>
    <row r="47" ht="25.5">
      <c r="A47" s="87"/>
      <c r="B47" s="85"/>
      <c r="C47" s="26" t="s">
        <v>106</v>
      </c>
      <c r="D47" s="94">
        <v>0</v>
      </c>
      <c r="E47" s="94">
        <v>0</v>
      </c>
      <c r="F47" s="94">
        <v>0</v>
      </c>
      <c r="G47" s="94">
        <v>0</v>
      </c>
      <c r="H47" s="94">
        <v>0</v>
      </c>
      <c r="I47" s="86"/>
    </row>
    <row r="48" ht="15.75" customHeight="1">
      <c r="A48" s="34" t="s">
        <v>41</v>
      </c>
      <c r="B48" s="10"/>
      <c r="C48" s="88"/>
      <c r="D48" s="89">
        <f t="shared" ref="D48:H48" si="13">AVERAGE(D43:D47)</f>
        <v>0</v>
      </c>
      <c r="E48" s="89">
        <f t="shared" si="13"/>
        <v>0</v>
      </c>
      <c r="F48" s="89">
        <f t="shared" si="13"/>
        <v>0</v>
      </c>
      <c r="G48" s="89">
        <f t="shared" si="13"/>
        <v>0</v>
      </c>
      <c r="H48" s="89">
        <f t="shared" si="13"/>
        <v>0</v>
      </c>
      <c r="I48" s="90"/>
    </row>
    <row r="49" ht="13.199999999999999">
      <c r="A49" s="67" t="s">
        <v>70</v>
      </c>
      <c r="B49" s="15" t="s">
        <v>7</v>
      </c>
      <c r="C49" s="78" t="s">
        <v>75</v>
      </c>
      <c r="D49" s="91">
        <v>0</v>
      </c>
      <c r="E49" s="91">
        <v>0</v>
      </c>
      <c r="F49" s="91">
        <v>0</v>
      </c>
      <c r="G49" s="91">
        <v>0</v>
      </c>
      <c r="H49" s="91">
        <v>0</v>
      </c>
      <c r="I49" s="79"/>
    </row>
    <row r="50" ht="25.5">
      <c r="A50" s="82"/>
      <c r="B50" s="85"/>
      <c r="C50" s="78" t="s">
        <v>76</v>
      </c>
      <c r="D50" s="94">
        <v>0</v>
      </c>
      <c r="E50" s="94">
        <v>0</v>
      </c>
      <c r="F50" s="94">
        <v>0</v>
      </c>
      <c r="G50" s="94">
        <v>0</v>
      </c>
      <c r="H50" s="94">
        <v>0</v>
      </c>
      <c r="I50" s="86"/>
    </row>
    <row r="51" ht="76.5">
      <c r="A51" s="87"/>
      <c r="B51" s="51" t="s">
        <v>10</v>
      </c>
      <c r="C51" s="53" t="s">
        <v>107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7"/>
    </row>
    <row r="52" ht="15.75" customHeight="1">
      <c r="A52" s="69" t="s">
        <v>41</v>
      </c>
      <c r="B52" s="98"/>
      <c r="C52" s="99"/>
      <c r="D52" s="100">
        <f t="shared" ref="D52:H52" si="14">AVERAGE(D49:D51)</f>
        <v>0</v>
      </c>
      <c r="E52" s="100">
        <f t="shared" si="14"/>
        <v>0</v>
      </c>
      <c r="F52" s="100">
        <f t="shared" si="14"/>
        <v>0</v>
      </c>
      <c r="G52" s="100">
        <f t="shared" si="14"/>
        <v>0</v>
      </c>
      <c r="H52" s="100">
        <f t="shared" si="14"/>
        <v>0</v>
      </c>
      <c r="I52" s="101"/>
    </row>
    <row r="53" ht="15.75" customHeight="1">
      <c r="A53" s="74"/>
      <c r="B53" s="61"/>
      <c r="C53" s="61"/>
      <c r="D53" s="75"/>
      <c r="E53" s="75"/>
      <c r="F53" s="75"/>
      <c r="G53" s="75"/>
      <c r="H53" s="62"/>
    </row>
    <row r="54" ht="15.75" customHeight="1">
      <c r="A54" s="74"/>
      <c r="B54" s="76"/>
    </row>
    <row r="55" ht="15.75" customHeight="1">
      <c r="A55" s="74"/>
      <c r="B55" s="61"/>
    </row>
    <row r="56" ht="15.75" customHeight="1">
      <c r="A56" s="74"/>
      <c r="B56" s="61"/>
    </row>
    <row r="57" ht="15.75" customHeight="1">
      <c r="A57" s="74"/>
      <c r="B57" s="61"/>
    </row>
    <row r="58" ht="15.75" customHeight="1">
      <c r="A58" s="74"/>
      <c r="B58" s="61"/>
    </row>
    <row r="59" ht="15.75" customHeight="1">
      <c r="A59" s="74"/>
      <c r="B59" s="61"/>
    </row>
    <row r="60" ht="15.75" customHeight="1">
      <c r="A60" s="74"/>
      <c r="B60" s="61"/>
    </row>
    <row r="61" ht="15.75" customHeight="1">
      <c r="A61" s="74"/>
      <c r="B61" s="61"/>
    </row>
    <row r="62" ht="15.75" customHeight="1">
      <c r="A62" s="74"/>
      <c r="B62" s="61"/>
      <c r="C62" s="61"/>
      <c r="H62" s="62"/>
    </row>
    <row r="63" ht="15.75" customHeight="1">
      <c r="A63" s="74"/>
      <c r="B63" s="61"/>
      <c r="C63" s="61"/>
      <c r="H63" s="62"/>
    </row>
    <row r="64" ht="15.75" customHeight="1">
      <c r="A64" s="74"/>
      <c r="B64" s="61"/>
      <c r="C64" s="61"/>
      <c r="H64" s="62"/>
    </row>
    <row r="65" ht="15.75" customHeight="1">
      <c r="A65" s="74"/>
      <c r="B65" s="61"/>
      <c r="C65" s="61"/>
      <c r="H65" s="62"/>
    </row>
    <row r="66" ht="15.75" customHeight="1">
      <c r="A66" s="74"/>
      <c r="B66" s="61"/>
      <c r="C66" s="61"/>
      <c r="H66" s="62"/>
    </row>
    <row r="67" ht="15.75" customHeight="1">
      <c r="A67" s="74"/>
      <c r="B67" s="61"/>
      <c r="C67" s="61"/>
      <c r="H67" s="62"/>
    </row>
    <row r="68" ht="15.75" customHeight="1">
      <c r="A68" s="74"/>
      <c r="B68" s="61"/>
      <c r="C68" s="61"/>
      <c r="H68" s="62"/>
    </row>
    <row r="69" ht="15.75" customHeight="1">
      <c r="A69" s="74"/>
      <c r="B69" s="61"/>
      <c r="C69" s="61"/>
      <c r="H69" s="62"/>
    </row>
    <row r="70" ht="15.75" customHeight="1">
      <c r="A70" s="74"/>
      <c r="B70" s="61"/>
      <c r="C70" s="61"/>
      <c r="H70" s="62"/>
    </row>
    <row r="71" ht="15.75" customHeight="1">
      <c r="A71" s="74"/>
      <c r="B71" s="61"/>
      <c r="C71" s="61"/>
      <c r="H71" s="62"/>
    </row>
    <row r="72" ht="15.75" customHeight="1">
      <c r="A72" s="74"/>
      <c r="B72" s="61"/>
      <c r="C72" s="61"/>
      <c r="H72" s="62"/>
    </row>
    <row r="73" ht="15.75" customHeight="1">
      <c r="A73" s="74"/>
      <c r="B73" s="61"/>
      <c r="C73" s="61"/>
      <c r="H73" s="62"/>
    </row>
    <row r="74" ht="15.75" customHeight="1">
      <c r="A74" s="74"/>
      <c r="B74" s="61"/>
      <c r="C74" s="61"/>
      <c r="H74" s="62"/>
    </row>
    <row r="75" ht="15.75" customHeight="1">
      <c r="A75" s="74"/>
      <c r="B75" s="61"/>
      <c r="C75" s="61"/>
      <c r="H75" s="62"/>
    </row>
    <row r="76" ht="15.75" customHeight="1">
      <c r="A76" s="74"/>
      <c r="B76" s="61"/>
      <c r="C76" s="61"/>
      <c r="H76" s="62"/>
    </row>
    <row r="77" ht="15.75" customHeight="1">
      <c r="A77" s="74"/>
      <c r="B77" s="61"/>
      <c r="C77" s="61"/>
      <c r="H77" s="62"/>
    </row>
    <row r="78" ht="15.75" customHeight="1">
      <c r="A78" s="74"/>
      <c r="B78" s="61"/>
      <c r="C78" s="61"/>
      <c r="H78" s="62"/>
    </row>
    <row r="79" ht="15.75" customHeight="1">
      <c r="A79" s="74"/>
      <c r="B79" s="61"/>
      <c r="C79" s="61"/>
      <c r="H79" s="62"/>
    </row>
    <row r="80" ht="15.75" customHeight="1">
      <c r="A80" s="74"/>
      <c r="B80" s="61"/>
      <c r="C80" s="61"/>
      <c r="H80" s="62"/>
    </row>
    <row r="81" ht="15.75" customHeight="1">
      <c r="A81" s="74"/>
      <c r="B81" s="61"/>
      <c r="C81" s="61"/>
      <c r="H81" s="62"/>
    </row>
    <row r="82" ht="15.75" customHeight="1">
      <c r="A82" s="74"/>
      <c r="B82" s="61"/>
      <c r="C82" s="61"/>
      <c r="H82" s="62"/>
    </row>
    <row r="83" ht="15.75" customHeight="1">
      <c r="A83" s="74"/>
      <c r="B83" s="61"/>
      <c r="C83" s="61"/>
      <c r="H83" s="62"/>
    </row>
    <row r="84" ht="15.75" customHeight="1">
      <c r="A84" s="74"/>
      <c r="B84" s="61"/>
      <c r="C84" s="61"/>
      <c r="H84" s="62"/>
    </row>
    <row r="85" ht="15.75" customHeight="1">
      <c r="A85" s="74"/>
      <c r="B85" s="61"/>
      <c r="C85" s="61"/>
      <c r="H85" s="62"/>
    </row>
    <row r="86" ht="15.75" customHeight="1">
      <c r="A86" s="74"/>
      <c r="B86" s="61"/>
      <c r="C86" s="61"/>
      <c r="H86" s="62"/>
    </row>
    <row r="87" ht="15.75" customHeight="1">
      <c r="A87" s="74"/>
      <c r="B87" s="61"/>
      <c r="C87" s="61"/>
      <c r="H87" s="62"/>
    </row>
    <row r="88" ht="15.75" customHeight="1">
      <c r="A88" s="74"/>
      <c r="B88" s="61"/>
      <c r="C88" s="61"/>
      <c r="H88" s="62"/>
    </row>
    <row r="89" ht="15.75" customHeight="1">
      <c r="A89" s="74"/>
      <c r="B89" s="61"/>
      <c r="C89" s="61"/>
      <c r="H89" s="62"/>
    </row>
    <row r="90" ht="15.75" customHeight="1">
      <c r="A90" s="74"/>
      <c r="B90" s="61"/>
      <c r="C90" s="61"/>
      <c r="H90" s="62"/>
    </row>
    <row r="91" ht="15.75" customHeight="1">
      <c r="A91" s="74"/>
      <c r="B91" s="61"/>
      <c r="C91" s="61"/>
      <c r="H91" s="62"/>
    </row>
    <row r="92" ht="15.75" customHeight="1">
      <c r="A92" s="74"/>
      <c r="B92" s="61"/>
      <c r="C92" s="61"/>
      <c r="H92" s="62"/>
    </row>
    <row r="93" ht="15.75" customHeight="1">
      <c r="A93" s="74"/>
      <c r="B93" s="61"/>
      <c r="C93" s="61"/>
      <c r="H93" s="62"/>
    </row>
    <row r="94" ht="15.75" customHeight="1">
      <c r="A94" s="74"/>
      <c r="B94" s="61"/>
      <c r="C94" s="61"/>
      <c r="H94" s="62"/>
    </row>
    <row r="95" ht="15.75" customHeight="1">
      <c r="A95" s="74"/>
      <c r="B95" s="61"/>
      <c r="C95" s="61"/>
      <c r="H95" s="62"/>
    </row>
    <row r="96" ht="15.75" customHeight="1">
      <c r="A96" s="74"/>
      <c r="B96" s="61"/>
      <c r="C96" s="61"/>
      <c r="H96" s="62"/>
    </row>
    <row r="97" ht="15.75" customHeight="1">
      <c r="A97" s="74"/>
      <c r="B97" s="61"/>
      <c r="C97" s="61"/>
      <c r="H97" s="62"/>
    </row>
    <row r="98" ht="15.75" customHeight="1">
      <c r="A98" s="74"/>
      <c r="B98" s="61"/>
      <c r="C98" s="61"/>
      <c r="H98" s="62"/>
    </row>
    <row r="99" ht="15.75" customHeight="1">
      <c r="A99" s="74"/>
      <c r="B99" s="61"/>
      <c r="C99" s="61"/>
      <c r="H99" s="62"/>
    </row>
    <row r="100" ht="15.75" customHeight="1">
      <c r="A100" s="74"/>
      <c r="B100" s="61"/>
      <c r="C100" s="61"/>
      <c r="H100" s="62"/>
    </row>
    <row r="101" ht="15.75" customHeight="1">
      <c r="A101" s="74"/>
      <c r="B101" s="61"/>
      <c r="C101" s="61"/>
      <c r="H101" s="62"/>
    </row>
    <row r="102" ht="15.75" customHeight="1">
      <c r="A102" s="74"/>
      <c r="B102" s="61"/>
      <c r="C102" s="61"/>
      <c r="H102" s="62"/>
    </row>
    <row r="103" ht="15.75" customHeight="1">
      <c r="A103" s="74"/>
      <c r="B103" s="61"/>
      <c r="C103" s="61"/>
      <c r="H103" s="62"/>
    </row>
    <row r="104" ht="15.75" customHeight="1">
      <c r="A104" s="74"/>
      <c r="B104" s="61"/>
      <c r="C104" s="61"/>
      <c r="H104" s="62"/>
    </row>
    <row r="105" ht="15.75" customHeight="1">
      <c r="A105" s="74"/>
      <c r="B105" s="61"/>
      <c r="C105" s="61"/>
      <c r="H105" s="62"/>
    </row>
    <row r="106" ht="15.75" customHeight="1">
      <c r="A106" s="74"/>
      <c r="B106" s="61"/>
      <c r="C106" s="61"/>
      <c r="H106" s="62"/>
    </row>
    <row r="107" ht="15.75" customHeight="1">
      <c r="A107" s="74"/>
      <c r="B107" s="61"/>
      <c r="C107" s="61"/>
      <c r="H107" s="62"/>
    </row>
    <row r="108" ht="15.75" customHeight="1">
      <c r="A108" s="74"/>
      <c r="B108" s="61"/>
      <c r="C108" s="61"/>
      <c r="H108" s="62"/>
    </row>
    <row r="109" ht="15.75" customHeight="1">
      <c r="A109" s="74"/>
      <c r="B109" s="61"/>
      <c r="C109" s="61"/>
      <c r="H109" s="62"/>
    </row>
    <row r="110" ht="15.75" customHeight="1">
      <c r="A110" s="74"/>
      <c r="B110" s="61"/>
      <c r="C110" s="61"/>
      <c r="H110" s="62"/>
    </row>
    <row r="111" ht="15.75" customHeight="1">
      <c r="A111" s="74"/>
      <c r="B111" s="61"/>
      <c r="C111" s="61"/>
      <c r="H111" s="62"/>
    </row>
    <row r="112" ht="15.75" customHeight="1">
      <c r="A112" s="74"/>
      <c r="B112" s="61"/>
      <c r="C112" s="61"/>
      <c r="H112" s="62"/>
    </row>
    <row r="113" ht="15.75" customHeight="1">
      <c r="A113" s="74"/>
      <c r="B113" s="61"/>
      <c r="C113" s="61"/>
      <c r="H113" s="62"/>
    </row>
    <row r="114" ht="15.75" customHeight="1">
      <c r="A114" s="74"/>
      <c r="B114" s="61"/>
      <c r="C114" s="61"/>
      <c r="H114" s="62"/>
    </row>
    <row r="115" ht="15.75" customHeight="1">
      <c r="A115" s="74"/>
      <c r="B115" s="61"/>
      <c r="C115" s="61"/>
      <c r="H115" s="62"/>
    </row>
    <row r="116" ht="15.75" customHeight="1">
      <c r="A116" s="74"/>
      <c r="B116" s="61"/>
      <c r="C116" s="61"/>
      <c r="H116" s="62"/>
    </row>
    <row r="117" ht="15.75" customHeight="1">
      <c r="A117" s="74"/>
      <c r="B117" s="61"/>
      <c r="C117" s="61"/>
      <c r="H117" s="62"/>
    </row>
    <row r="118" ht="15.75" customHeight="1">
      <c r="A118" s="74"/>
      <c r="B118" s="61"/>
      <c r="C118" s="61"/>
      <c r="H118" s="62"/>
    </row>
    <row r="119" ht="15.75" customHeight="1">
      <c r="A119" s="74"/>
      <c r="B119" s="61"/>
      <c r="C119" s="61"/>
      <c r="H119" s="62"/>
    </row>
    <row r="120" ht="15.75" customHeight="1">
      <c r="A120" s="74"/>
      <c r="B120" s="61"/>
      <c r="C120" s="61"/>
      <c r="H120" s="62"/>
    </row>
    <row r="121" ht="15.75" customHeight="1">
      <c r="A121" s="74"/>
      <c r="B121" s="61"/>
      <c r="C121" s="61"/>
      <c r="H121" s="62"/>
    </row>
    <row r="122" ht="15.75" customHeight="1">
      <c r="A122" s="74"/>
      <c r="B122" s="61"/>
      <c r="C122" s="61"/>
      <c r="H122" s="62"/>
    </row>
    <row r="123" ht="15.75" customHeight="1">
      <c r="A123" s="74"/>
      <c r="B123" s="61"/>
      <c r="C123" s="61"/>
      <c r="H123" s="62"/>
    </row>
    <row r="124" ht="15.75" customHeight="1">
      <c r="A124" s="74"/>
      <c r="B124" s="61"/>
      <c r="C124" s="61"/>
      <c r="H124" s="62"/>
    </row>
    <row r="125" ht="15.75" customHeight="1">
      <c r="A125" s="74"/>
      <c r="B125" s="61"/>
      <c r="C125" s="61"/>
      <c r="H125" s="62"/>
    </row>
    <row r="126" ht="15.75" customHeight="1">
      <c r="A126" s="74"/>
      <c r="B126" s="61"/>
      <c r="C126" s="61"/>
      <c r="H126" s="62"/>
    </row>
    <row r="127" ht="15.75" customHeight="1">
      <c r="A127" s="74"/>
      <c r="B127" s="61"/>
      <c r="C127" s="61"/>
      <c r="H127" s="62"/>
    </row>
    <row r="128" ht="15.75" customHeight="1">
      <c r="A128" s="74"/>
      <c r="B128" s="61"/>
      <c r="C128" s="61"/>
      <c r="H128" s="62"/>
    </row>
    <row r="129" ht="15.75" customHeight="1">
      <c r="A129" s="74"/>
      <c r="B129" s="61"/>
      <c r="C129" s="61"/>
      <c r="H129" s="62"/>
    </row>
    <row r="130" ht="15.75" customHeight="1">
      <c r="A130" s="74"/>
      <c r="B130" s="61"/>
      <c r="C130" s="61"/>
      <c r="H130" s="62"/>
    </row>
    <row r="131" ht="15.75" customHeight="1">
      <c r="A131" s="74"/>
      <c r="B131" s="61"/>
      <c r="C131" s="61"/>
      <c r="H131" s="62"/>
    </row>
    <row r="132" ht="15.75" customHeight="1">
      <c r="A132" s="74"/>
      <c r="B132" s="61"/>
      <c r="C132" s="61"/>
      <c r="H132" s="62"/>
    </row>
    <row r="133" ht="15.75" customHeight="1">
      <c r="A133" s="74"/>
      <c r="B133" s="61"/>
      <c r="C133" s="61"/>
      <c r="H133" s="62"/>
    </row>
    <row r="134" ht="15.75" customHeight="1">
      <c r="A134" s="74"/>
      <c r="B134" s="61"/>
      <c r="C134" s="61"/>
      <c r="H134" s="62"/>
    </row>
    <row r="135" ht="15.75" customHeight="1">
      <c r="A135" s="74"/>
      <c r="B135" s="61"/>
      <c r="C135" s="61"/>
      <c r="H135" s="62"/>
    </row>
    <row r="136" ht="15.75" customHeight="1">
      <c r="A136" s="74"/>
      <c r="B136" s="61"/>
      <c r="C136" s="61"/>
      <c r="H136" s="62"/>
    </row>
    <row r="137" ht="15.75" customHeight="1">
      <c r="A137" s="74"/>
      <c r="B137" s="61"/>
      <c r="C137" s="61"/>
      <c r="H137" s="62"/>
    </row>
    <row r="138" ht="15.75" customHeight="1">
      <c r="A138" s="74"/>
      <c r="B138" s="61"/>
      <c r="C138" s="61"/>
      <c r="H138" s="62"/>
    </row>
    <row r="139" ht="15.75" customHeight="1">
      <c r="A139" s="74"/>
      <c r="B139" s="61"/>
      <c r="C139" s="61"/>
      <c r="H139" s="62"/>
    </row>
    <row r="140" ht="15.75" customHeight="1">
      <c r="A140" s="74"/>
      <c r="B140" s="61"/>
      <c r="C140" s="61"/>
      <c r="H140" s="62"/>
    </row>
    <row r="141" ht="15.75" customHeight="1">
      <c r="A141" s="74"/>
      <c r="B141" s="61"/>
      <c r="C141" s="61"/>
      <c r="H141" s="62"/>
    </row>
    <row r="142" ht="15.75" customHeight="1">
      <c r="A142" s="74"/>
      <c r="B142" s="61"/>
      <c r="C142" s="61"/>
      <c r="H142" s="62"/>
    </row>
    <row r="143" ht="15.75" customHeight="1">
      <c r="A143" s="74"/>
      <c r="B143" s="61"/>
      <c r="C143" s="61"/>
      <c r="H143" s="62"/>
    </row>
    <row r="144" ht="15.75" customHeight="1">
      <c r="A144" s="74"/>
      <c r="B144" s="61"/>
      <c r="C144" s="61"/>
      <c r="H144" s="62"/>
    </row>
    <row r="145" ht="15.75" customHeight="1">
      <c r="A145" s="74"/>
      <c r="B145" s="61"/>
      <c r="C145" s="61"/>
      <c r="H145" s="62"/>
    </row>
    <row r="146" ht="15.75" customHeight="1">
      <c r="A146" s="74"/>
      <c r="B146" s="61"/>
      <c r="C146" s="61"/>
      <c r="H146" s="62"/>
    </row>
    <row r="147" ht="15.75" customHeight="1">
      <c r="A147" s="74"/>
      <c r="B147" s="61"/>
      <c r="C147" s="61"/>
      <c r="H147" s="62"/>
    </row>
    <row r="148" ht="15.75" customHeight="1">
      <c r="A148" s="74"/>
      <c r="B148" s="61"/>
      <c r="C148" s="61"/>
      <c r="H148" s="62"/>
    </row>
    <row r="149" ht="15.75" customHeight="1">
      <c r="A149" s="74"/>
      <c r="B149" s="61"/>
      <c r="C149" s="61"/>
      <c r="H149" s="62"/>
    </row>
    <row r="150" ht="15.75" customHeight="1">
      <c r="A150" s="74"/>
      <c r="B150" s="61"/>
      <c r="C150" s="61"/>
      <c r="H150" s="62"/>
    </row>
    <row r="151" ht="15.75" customHeight="1">
      <c r="A151" s="74"/>
      <c r="B151" s="61"/>
      <c r="C151" s="61"/>
      <c r="H151" s="62"/>
    </row>
    <row r="152" ht="15.75" customHeight="1">
      <c r="A152" s="74"/>
      <c r="B152" s="61"/>
      <c r="C152" s="61"/>
      <c r="H152" s="62"/>
    </row>
    <row r="153" ht="15.75" customHeight="1">
      <c r="A153" s="74"/>
      <c r="B153" s="61"/>
      <c r="C153" s="61"/>
      <c r="H153" s="62"/>
    </row>
    <row r="154" ht="15.75" customHeight="1">
      <c r="A154" s="74"/>
      <c r="B154" s="61"/>
      <c r="C154" s="61"/>
      <c r="H154" s="62"/>
    </row>
    <row r="155" ht="15.75" customHeight="1">
      <c r="A155" s="74"/>
      <c r="B155" s="61"/>
      <c r="C155" s="61"/>
      <c r="H155" s="62"/>
    </row>
    <row r="156" ht="15.75" customHeight="1">
      <c r="A156" s="74"/>
      <c r="B156" s="61"/>
      <c r="C156" s="61"/>
      <c r="H156" s="62"/>
    </row>
    <row r="157" ht="15.75" customHeight="1">
      <c r="A157" s="74"/>
      <c r="B157" s="61"/>
      <c r="C157" s="61"/>
      <c r="H157" s="62"/>
    </row>
    <row r="158" ht="15.75" customHeight="1">
      <c r="A158" s="74"/>
      <c r="B158" s="61"/>
      <c r="C158" s="61"/>
      <c r="H158" s="62"/>
    </row>
    <row r="159" ht="15.75" customHeight="1">
      <c r="A159" s="74"/>
      <c r="B159" s="61"/>
      <c r="C159" s="61"/>
      <c r="H159" s="62"/>
    </row>
    <row r="160" ht="15.75" customHeight="1">
      <c r="A160" s="74"/>
      <c r="B160" s="61"/>
      <c r="C160" s="61"/>
      <c r="H160" s="62"/>
    </row>
    <row r="161" ht="15.75" customHeight="1">
      <c r="A161" s="74"/>
      <c r="B161" s="61"/>
      <c r="C161" s="61"/>
      <c r="H161" s="62"/>
    </row>
    <row r="162" ht="15.75" customHeight="1">
      <c r="A162" s="74"/>
      <c r="B162" s="61"/>
      <c r="C162" s="61"/>
      <c r="H162" s="62"/>
    </row>
    <row r="163" ht="15.75" customHeight="1">
      <c r="A163" s="74"/>
      <c r="B163" s="61"/>
      <c r="C163" s="61"/>
      <c r="H163" s="62"/>
    </row>
    <row r="164" ht="15.75" customHeight="1">
      <c r="A164" s="74"/>
      <c r="B164" s="61"/>
      <c r="C164" s="61"/>
      <c r="H164" s="62"/>
    </row>
    <row r="165" ht="15.75" customHeight="1">
      <c r="A165" s="74"/>
      <c r="B165" s="61"/>
      <c r="C165" s="61"/>
      <c r="H165" s="62"/>
    </row>
    <row r="166" ht="15.75" customHeight="1">
      <c r="A166" s="74"/>
      <c r="B166" s="61"/>
      <c r="C166" s="61"/>
      <c r="H166" s="62"/>
    </row>
    <row r="167" ht="15.75" customHeight="1">
      <c r="A167" s="74"/>
      <c r="B167" s="61"/>
      <c r="C167" s="61"/>
      <c r="H167" s="62"/>
    </row>
    <row r="168" ht="15.75" customHeight="1">
      <c r="A168" s="74"/>
      <c r="B168" s="61"/>
      <c r="C168" s="61"/>
      <c r="H168" s="62"/>
    </row>
    <row r="169" ht="15.75" customHeight="1">
      <c r="A169" s="74"/>
      <c r="B169" s="61"/>
      <c r="C169" s="61"/>
      <c r="H169" s="62"/>
    </row>
    <row r="170" ht="15.75" customHeight="1">
      <c r="A170" s="74"/>
      <c r="B170" s="61"/>
      <c r="C170" s="61"/>
      <c r="H170" s="62"/>
    </row>
    <row r="171" ht="15.75" customHeight="1">
      <c r="A171" s="74"/>
      <c r="B171" s="61"/>
      <c r="C171" s="61"/>
      <c r="H171" s="62"/>
    </row>
    <row r="172" ht="15.75" customHeight="1">
      <c r="A172" s="74"/>
      <c r="B172" s="61"/>
      <c r="C172" s="61"/>
      <c r="H172" s="62"/>
    </row>
    <row r="173" ht="15.75" customHeight="1">
      <c r="A173" s="74"/>
      <c r="B173" s="61"/>
      <c r="C173" s="61"/>
      <c r="H173" s="62"/>
    </row>
    <row r="174" ht="15.75" customHeight="1">
      <c r="A174" s="74"/>
      <c r="B174" s="61"/>
      <c r="C174" s="61"/>
      <c r="H174" s="62"/>
    </row>
    <row r="175" ht="15.75" customHeight="1">
      <c r="A175" s="74"/>
      <c r="B175" s="61"/>
      <c r="C175" s="61"/>
      <c r="H175" s="62"/>
    </row>
    <row r="176" ht="15.75" customHeight="1">
      <c r="A176" s="74"/>
      <c r="B176" s="61"/>
      <c r="C176" s="61"/>
      <c r="H176" s="62"/>
    </row>
    <row r="177" ht="15.75" customHeight="1">
      <c r="A177" s="74"/>
      <c r="B177" s="61"/>
      <c r="C177" s="61"/>
      <c r="H177" s="62"/>
    </row>
    <row r="178" ht="15.75" customHeight="1">
      <c r="A178" s="74"/>
      <c r="B178" s="61"/>
      <c r="C178" s="61"/>
      <c r="H178" s="62"/>
    </row>
    <row r="179" ht="15.75" customHeight="1">
      <c r="A179" s="74"/>
      <c r="B179" s="61"/>
      <c r="C179" s="61"/>
      <c r="H179" s="62"/>
    </row>
    <row r="180" ht="15.75" customHeight="1">
      <c r="A180" s="74"/>
      <c r="B180" s="61"/>
      <c r="C180" s="61"/>
      <c r="H180" s="62"/>
    </row>
    <row r="181" ht="15.75" customHeight="1">
      <c r="A181" s="74"/>
      <c r="B181" s="61"/>
      <c r="C181" s="61"/>
      <c r="H181" s="62"/>
    </row>
    <row r="182" ht="15.75" customHeight="1">
      <c r="A182" s="74"/>
      <c r="B182" s="61"/>
      <c r="C182" s="61"/>
      <c r="H182" s="62"/>
    </row>
    <row r="183" ht="15.75" customHeight="1">
      <c r="A183" s="74"/>
      <c r="B183" s="61"/>
      <c r="C183" s="61"/>
      <c r="H183" s="62"/>
    </row>
    <row r="184" ht="15.75" customHeight="1">
      <c r="A184" s="74"/>
      <c r="B184" s="61"/>
      <c r="C184" s="61"/>
      <c r="H184" s="62"/>
    </row>
    <row r="185" ht="15.75" customHeight="1">
      <c r="A185" s="74"/>
      <c r="B185" s="61"/>
      <c r="C185" s="61"/>
      <c r="H185" s="62"/>
    </row>
    <row r="186" ht="15.75" customHeight="1">
      <c r="A186" s="74"/>
      <c r="B186" s="61"/>
      <c r="C186" s="61"/>
      <c r="H186" s="62"/>
    </row>
    <row r="187" ht="15.75" customHeight="1">
      <c r="A187" s="74"/>
      <c r="B187" s="61"/>
      <c r="C187" s="61"/>
      <c r="H187" s="62"/>
    </row>
    <row r="188" ht="15.75" customHeight="1">
      <c r="A188" s="74"/>
      <c r="B188" s="61"/>
      <c r="C188" s="61"/>
      <c r="H188" s="62"/>
    </row>
    <row r="189" ht="15.75" customHeight="1">
      <c r="A189" s="74"/>
      <c r="B189" s="61"/>
      <c r="C189" s="61"/>
      <c r="H189" s="62"/>
    </row>
    <row r="190" ht="15.75" customHeight="1">
      <c r="A190" s="74"/>
      <c r="B190" s="61"/>
      <c r="C190" s="61"/>
      <c r="H190" s="62"/>
    </row>
    <row r="191" ht="15.75" customHeight="1">
      <c r="A191" s="74"/>
      <c r="B191" s="61"/>
      <c r="C191" s="61"/>
      <c r="H191" s="62"/>
    </row>
    <row r="192" ht="15.75" customHeight="1">
      <c r="A192" s="74"/>
      <c r="B192" s="61"/>
      <c r="C192" s="61"/>
      <c r="H192" s="62"/>
    </row>
    <row r="193" ht="15.75" customHeight="1">
      <c r="A193" s="74"/>
      <c r="B193" s="61"/>
      <c r="C193" s="61"/>
      <c r="H193" s="62"/>
    </row>
    <row r="194" ht="15.75" customHeight="1">
      <c r="A194" s="74"/>
      <c r="B194" s="61"/>
      <c r="C194" s="61"/>
      <c r="H194" s="62"/>
    </row>
    <row r="195" ht="15.75" customHeight="1">
      <c r="A195" s="74"/>
      <c r="B195" s="61"/>
      <c r="C195" s="61"/>
      <c r="H195" s="62"/>
    </row>
    <row r="196" ht="15.75" customHeight="1">
      <c r="A196" s="74"/>
      <c r="B196" s="61"/>
      <c r="C196" s="61"/>
      <c r="H196" s="62"/>
    </row>
    <row r="197" ht="15.75" customHeight="1">
      <c r="A197" s="74"/>
      <c r="B197" s="61"/>
      <c r="C197" s="61"/>
      <c r="H197" s="62"/>
    </row>
    <row r="198" ht="15.75" customHeight="1">
      <c r="A198" s="74"/>
      <c r="B198" s="61"/>
      <c r="C198" s="61"/>
      <c r="H198" s="62"/>
    </row>
    <row r="199" ht="15.75" customHeight="1">
      <c r="A199" s="74"/>
      <c r="B199" s="61"/>
      <c r="C199" s="61"/>
      <c r="H199" s="62"/>
    </row>
    <row r="200" ht="15.75" customHeight="1">
      <c r="A200" s="74"/>
      <c r="B200" s="61"/>
      <c r="C200" s="61"/>
      <c r="H200" s="62"/>
    </row>
    <row r="201" ht="15.75" customHeight="1">
      <c r="A201" s="74"/>
      <c r="B201" s="61"/>
      <c r="C201" s="61"/>
      <c r="H201" s="62"/>
    </row>
    <row r="202" ht="15.75" customHeight="1">
      <c r="A202" s="74"/>
      <c r="B202" s="61"/>
      <c r="C202" s="61"/>
      <c r="H202" s="62"/>
    </row>
    <row r="203" ht="15.75" customHeight="1">
      <c r="A203" s="74"/>
      <c r="B203" s="61"/>
      <c r="C203" s="61"/>
      <c r="H203" s="62"/>
    </row>
    <row r="204" ht="15.75" customHeight="1">
      <c r="A204" s="74"/>
      <c r="B204" s="61"/>
      <c r="C204" s="61"/>
      <c r="H204" s="62"/>
    </row>
    <row r="205" ht="15.75" customHeight="1">
      <c r="A205" s="74"/>
      <c r="B205" s="61"/>
      <c r="C205" s="61"/>
      <c r="H205" s="62"/>
    </row>
    <row r="206" ht="15.75" customHeight="1">
      <c r="A206" s="74"/>
      <c r="B206" s="61"/>
      <c r="C206" s="61"/>
      <c r="H206" s="62"/>
    </row>
    <row r="207" ht="15.75" customHeight="1">
      <c r="A207" s="74"/>
      <c r="B207" s="61"/>
      <c r="C207" s="61"/>
      <c r="H207" s="62"/>
    </row>
    <row r="208" ht="15.75" customHeight="1">
      <c r="A208" s="74"/>
      <c r="B208" s="61"/>
      <c r="C208" s="61"/>
      <c r="H208" s="62"/>
    </row>
    <row r="209" ht="15.75" customHeight="1">
      <c r="A209" s="74"/>
      <c r="B209" s="61"/>
      <c r="C209" s="61"/>
      <c r="H209" s="62"/>
    </row>
    <row r="210" ht="15.75" customHeight="1">
      <c r="A210" s="74"/>
      <c r="B210" s="61"/>
      <c r="C210" s="61"/>
      <c r="H210" s="62"/>
    </row>
    <row r="211" ht="15.75" customHeight="1">
      <c r="A211" s="74"/>
      <c r="B211" s="61"/>
      <c r="C211" s="61"/>
      <c r="H211" s="62"/>
    </row>
    <row r="212" ht="15.75" customHeight="1">
      <c r="A212" s="74"/>
      <c r="B212" s="61"/>
      <c r="C212" s="61"/>
      <c r="H212" s="62"/>
    </row>
    <row r="213" ht="15.75" customHeight="1">
      <c r="A213" s="74"/>
      <c r="B213" s="61"/>
      <c r="C213" s="61"/>
      <c r="H213" s="62"/>
    </row>
    <row r="214" ht="15.75" customHeight="1">
      <c r="A214" s="74"/>
      <c r="B214" s="61"/>
      <c r="C214" s="61"/>
      <c r="H214" s="62"/>
    </row>
    <row r="215" ht="15.75" customHeight="1">
      <c r="A215" s="74"/>
      <c r="B215" s="61"/>
      <c r="C215" s="61"/>
      <c r="H215" s="62"/>
    </row>
    <row r="216" ht="15.75" customHeight="1">
      <c r="A216" s="74"/>
      <c r="B216" s="61"/>
      <c r="C216" s="61"/>
      <c r="H216" s="62"/>
    </row>
    <row r="217" ht="15.75" customHeight="1">
      <c r="A217" s="74"/>
      <c r="B217" s="61"/>
      <c r="C217" s="61"/>
      <c r="H217" s="62"/>
    </row>
    <row r="218" ht="15.75" customHeight="1">
      <c r="A218" s="74"/>
      <c r="B218" s="61"/>
      <c r="C218" s="61"/>
      <c r="H218" s="62"/>
    </row>
    <row r="219" ht="15.75" customHeight="1">
      <c r="A219" s="74"/>
      <c r="B219" s="61"/>
      <c r="C219" s="61"/>
      <c r="H219" s="62"/>
    </row>
    <row r="220" ht="15.75" customHeight="1">
      <c r="A220" s="74"/>
      <c r="B220" s="61"/>
      <c r="C220" s="61"/>
      <c r="H220" s="62"/>
    </row>
    <row r="221" ht="15.75" customHeight="1">
      <c r="A221" s="74"/>
      <c r="B221" s="61"/>
      <c r="C221" s="61"/>
      <c r="H221" s="62"/>
    </row>
    <row r="222" ht="15.75" customHeight="1">
      <c r="A222" s="74"/>
      <c r="B222" s="61"/>
      <c r="C222" s="61"/>
      <c r="H222" s="62"/>
    </row>
    <row r="223" ht="15.75" customHeight="1">
      <c r="A223" s="74"/>
      <c r="B223" s="61"/>
      <c r="C223" s="61"/>
      <c r="H223" s="62"/>
    </row>
    <row r="224" ht="15.75" customHeight="1">
      <c r="A224" s="74"/>
      <c r="B224" s="61"/>
      <c r="C224" s="61"/>
      <c r="H224" s="62"/>
    </row>
    <row r="225" ht="15.75" customHeight="1">
      <c r="A225" s="74"/>
      <c r="B225" s="61"/>
      <c r="C225" s="61"/>
      <c r="H225" s="62"/>
    </row>
    <row r="226" ht="15.75" customHeight="1">
      <c r="A226" s="74"/>
      <c r="B226" s="61"/>
      <c r="C226" s="61"/>
      <c r="H226" s="62"/>
    </row>
    <row r="227" ht="15.75" customHeight="1">
      <c r="A227" s="74"/>
      <c r="B227" s="61"/>
      <c r="C227" s="61"/>
      <c r="H227" s="62"/>
    </row>
    <row r="228" ht="15.75" customHeight="1">
      <c r="A228" s="74"/>
      <c r="B228" s="61"/>
      <c r="C228" s="61"/>
      <c r="H228" s="62"/>
    </row>
    <row r="229" ht="15.75" customHeight="1">
      <c r="A229" s="74"/>
      <c r="B229" s="61"/>
      <c r="C229" s="61"/>
      <c r="H229" s="62"/>
    </row>
    <row r="230" ht="15.75" customHeight="1">
      <c r="A230" s="74"/>
      <c r="B230" s="61"/>
      <c r="C230" s="61"/>
      <c r="H230" s="62"/>
    </row>
    <row r="231" ht="15.75" customHeight="1">
      <c r="A231" s="74"/>
      <c r="B231" s="61"/>
      <c r="C231" s="61"/>
      <c r="H231" s="62"/>
    </row>
    <row r="232" ht="15.75" customHeight="1">
      <c r="A232" s="74"/>
      <c r="B232" s="61"/>
      <c r="C232" s="61"/>
      <c r="H232" s="62"/>
    </row>
    <row r="233" ht="15.75" customHeight="1">
      <c r="A233" s="74"/>
      <c r="B233" s="61"/>
      <c r="C233" s="61"/>
      <c r="H233" s="62"/>
    </row>
    <row r="234" ht="15.75" customHeight="1">
      <c r="A234" s="74"/>
      <c r="B234" s="61"/>
      <c r="C234" s="61"/>
      <c r="H234" s="62"/>
    </row>
    <row r="235" ht="15.75" customHeight="1">
      <c r="A235" s="74"/>
      <c r="B235" s="61"/>
      <c r="C235" s="61"/>
      <c r="H235" s="62"/>
    </row>
    <row r="236" ht="15.75" customHeight="1">
      <c r="A236" s="74"/>
      <c r="B236" s="61"/>
      <c r="C236" s="61"/>
      <c r="H236" s="62"/>
    </row>
    <row r="237" ht="15.75" customHeight="1">
      <c r="A237" s="74"/>
      <c r="B237" s="61"/>
      <c r="C237" s="61"/>
      <c r="H237" s="62"/>
    </row>
    <row r="238" ht="15.75" customHeight="1">
      <c r="A238" s="74"/>
      <c r="B238" s="61"/>
      <c r="C238" s="61"/>
      <c r="H238" s="62"/>
    </row>
    <row r="239" ht="15.75" customHeight="1">
      <c r="A239" s="74"/>
      <c r="B239" s="61"/>
      <c r="C239" s="61"/>
      <c r="H239" s="62"/>
    </row>
    <row r="240" ht="15.75" customHeight="1">
      <c r="A240" s="74"/>
      <c r="B240" s="61"/>
      <c r="C240" s="61"/>
      <c r="H240" s="62"/>
    </row>
    <row r="241" ht="15.75" customHeight="1">
      <c r="A241" s="74"/>
      <c r="B241" s="61"/>
      <c r="C241" s="61"/>
      <c r="H241" s="62"/>
    </row>
    <row r="242" ht="15.75" customHeight="1">
      <c r="A242" s="74"/>
      <c r="B242" s="61"/>
      <c r="C242" s="61"/>
      <c r="H242" s="62"/>
    </row>
    <row r="243" ht="15.75" customHeight="1">
      <c r="A243" s="74"/>
      <c r="B243" s="61"/>
      <c r="C243" s="61"/>
      <c r="H243" s="62"/>
    </row>
    <row r="244" ht="15.75" customHeight="1">
      <c r="A244" s="74"/>
      <c r="B244" s="61"/>
      <c r="C244" s="61"/>
      <c r="H244" s="62"/>
    </row>
    <row r="245" ht="15.75" customHeight="1">
      <c r="A245" s="74"/>
      <c r="B245" s="61"/>
      <c r="C245" s="61"/>
      <c r="H245" s="62"/>
    </row>
    <row r="246" ht="15.75" customHeight="1">
      <c r="A246" s="74"/>
      <c r="B246" s="61"/>
      <c r="C246" s="61"/>
      <c r="H246" s="62"/>
    </row>
    <row r="247" ht="15.75" customHeight="1">
      <c r="A247" s="74"/>
      <c r="B247" s="61"/>
      <c r="C247" s="61"/>
      <c r="H247" s="62"/>
    </row>
    <row r="248" ht="15.75" customHeight="1">
      <c r="A248" s="74"/>
      <c r="B248" s="61"/>
      <c r="C248" s="61"/>
      <c r="H248" s="62"/>
    </row>
    <row r="249" ht="15.75" customHeight="1">
      <c r="A249" s="74"/>
      <c r="B249" s="61"/>
      <c r="C249" s="61"/>
      <c r="H249" s="62"/>
    </row>
    <row r="250" ht="15.75" customHeight="1">
      <c r="A250" s="74"/>
      <c r="B250" s="61"/>
      <c r="C250" s="61"/>
      <c r="H250" s="62"/>
    </row>
    <row r="251" ht="15.75" customHeight="1">
      <c r="A251" s="74"/>
      <c r="B251" s="61"/>
      <c r="C251" s="61"/>
      <c r="H251" s="62"/>
    </row>
    <row r="252" ht="15.75" customHeight="1">
      <c r="A252" s="74"/>
      <c r="B252" s="61"/>
      <c r="C252" s="61"/>
      <c r="H252" s="6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5">
    <mergeCell ref="A2:A10"/>
    <mergeCell ref="B2:B6"/>
    <mergeCell ref="B7:B10"/>
    <mergeCell ref="A11:C11"/>
    <mergeCell ref="A12:A23"/>
    <mergeCell ref="B12:B14"/>
    <mergeCell ref="B15:B23"/>
    <mergeCell ref="A24:C24"/>
    <mergeCell ref="A25:A29"/>
    <mergeCell ref="B25:B27"/>
    <mergeCell ref="B28:B29"/>
    <mergeCell ref="A30:C30"/>
    <mergeCell ref="A31:A36"/>
    <mergeCell ref="B31:B33"/>
    <mergeCell ref="B34:B36"/>
    <mergeCell ref="A37:C37"/>
    <mergeCell ref="A38:A41"/>
    <mergeCell ref="B39:B41"/>
    <mergeCell ref="A42:C42"/>
    <mergeCell ref="A43:A47"/>
    <mergeCell ref="B44:B47"/>
    <mergeCell ref="A48:C48"/>
    <mergeCell ref="A49:A51"/>
    <mergeCell ref="B49:B50"/>
    <mergeCell ref="A52:C5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30054-00C2-48A6-B592-00B100A000C8}" type="list" allowBlank="1" errorStyle="stop" imeMode="noControl" operator="between" showDropDown="0" showErrorMessage="0" showInputMessage="0">
          <x14:formula1>
            <xm:f>"0,1,2"</xm:f>
          </x14:formula1>
          <xm:sqref>D2:H10 H25:H27</xm:sqref>
        </x14:dataValidation>
        <x14:dataValidation xr:uid="{007A0058-003C-4A4F-A7FE-00D700F6008D}" type="list" allowBlank="1" errorStyle="stop" imeMode="noControl" operator="between" showDropDown="0" showErrorMessage="1" showInputMessage="0">
          <x14:formula1>
            <xm:f>"0,1,2"</xm:f>
          </x14:formula1>
          <xm:sqref>D25:G27 D28:H29 D31:H36 D38:H41 D43:H47 D49:H51 D12:H23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10" workbookViewId="0">
      <selection activeCell="C58" activeCellId="0" sqref="C58"/>
    </sheetView>
  </sheetViews>
  <sheetFormatPr defaultColWidth="12.6640625" defaultRowHeight="15" customHeight="1"/>
  <cols>
    <col customWidth="1" min="1" max="1" width="4.6640625"/>
    <col customWidth="1" min="2" max="2" width="3"/>
    <col customWidth="1" min="3" max="3" width="59.6640625"/>
    <col customWidth="1" min="4" max="4" width="12.44140625"/>
    <col customWidth="1" min="5" max="7" style="10" width="12.44140625"/>
    <col customWidth="1" min="8" max="8" width="14.88671875"/>
    <col customWidth="1" min="9" max="9" width="19.33203125"/>
    <col customWidth="1" min="11" max="11" width="17.5546875"/>
  </cols>
  <sheetData>
    <row r="1" ht="25.5">
      <c r="A1" s="11"/>
      <c r="B1" s="12"/>
      <c r="C1" s="12" t="s">
        <v>24</v>
      </c>
      <c r="D1" s="77" t="s">
        <v>25</v>
      </c>
      <c r="E1" s="13" t="s">
        <v>26</v>
      </c>
      <c r="F1" s="13" t="s">
        <v>27</v>
      </c>
      <c r="G1" s="13" t="s">
        <v>28</v>
      </c>
      <c r="H1" s="13" t="s">
        <v>77</v>
      </c>
      <c r="I1" s="77" t="s">
        <v>30</v>
      </c>
    </row>
    <row r="2" ht="25.5">
      <c r="A2" s="14" t="s">
        <v>31</v>
      </c>
      <c r="B2" s="15" t="s">
        <v>10</v>
      </c>
      <c r="C2" s="16" t="s">
        <v>78</v>
      </c>
      <c r="D2" s="91">
        <v>0</v>
      </c>
      <c r="E2" s="91">
        <v>0</v>
      </c>
      <c r="F2" s="91">
        <v>0</v>
      </c>
      <c r="G2" s="91">
        <v>0</v>
      </c>
      <c r="H2" s="17">
        <v>0</v>
      </c>
      <c r="I2" s="79"/>
    </row>
    <row r="3" ht="31.800000000000001" customHeight="1">
      <c r="A3" s="80"/>
      <c r="B3" s="29"/>
      <c r="C3" s="30" t="s">
        <v>79</v>
      </c>
      <c r="D3" s="102">
        <v>0</v>
      </c>
      <c r="E3" s="102">
        <v>0</v>
      </c>
      <c r="F3" s="102">
        <v>0</v>
      </c>
      <c r="G3" s="102">
        <v>0</v>
      </c>
      <c r="H3" s="31">
        <v>0</v>
      </c>
      <c r="I3" s="81"/>
    </row>
    <row r="4" ht="39" customHeight="1">
      <c r="A4" s="82"/>
      <c r="B4" s="83"/>
      <c r="C4" s="24" t="s">
        <v>80</v>
      </c>
      <c r="D4" s="95">
        <v>0</v>
      </c>
      <c r="E4" s="95">
        <v>0</v>
      </c>
      <c r="F4" s="95">
        <v>0</v>
      </c>
      <c r="G4" s="95">
        <v>0</v>
      </c>
      <c r="H4" s="22">
        <v>0</v>
      </c>
      <c r="I4" s="84"/>
    </row>
    <row r="5" ht="25.5">
      <c r="A5" s="82"/>
      <c r="B5" s="85"/>
      <c r="C5" s="26" t="s">
        <v>81</v>
      </c>
      <c r="D5" s="94">
        <v>0</v>
      </c>
      <c r="E5" s="94">
        <v>0</v>
      </c>
      <c r="F5" s="94">
        <v>0</v>
      </c>
      <c r="G5" s="94">
        <v>0</v>
      </c>
      <c r="H5" s="27">
        <v>0</v>
      </c>
      <c r="I5" s="86"/>
    </row>
    <row r="6" ht="25.5">
      <c r="A6" s="82"/>
      <c r="B6" s="15" t="s">
        <v>13</v>
      </c>
      <c r="C6" s="103" t="s">
        <v>108</v>
      </c>
      <c r="D6" s="91">
        <v>0</v>
      </c>
      <c r="E6" s="91">
        <v>0</v>
      </c>
      <c r="F6" s="91">
        <v>0</v>
      </c>
      <c r="G6" s="91">
        <v>0</v>
      </c>
      <c r="H6" s="17">
        <v>0</v>
      </c>
      <c r="I6" s="79"/>
    </row>
    <row r="7" ht="38.25">
      <c r="A7" s="82"/>
      <c r="B7" s="83"/>
      <c r="C7" s="21" t="s">
        <v>109</v>
      </c>
      <c r="D7" s="95">
        <v>0</v>
      </c>
      <c r="E7" s="95">
        <v>0</v>
      </c>
      <c r="F7" s="95">
        <v>0</v>
      </c>
      <c r="G7" s="95">
        <v>0</v>
      </c>
      <c r="H7" s="22">
        <v>0</v>
      </c>
      <c r="I7" s="84"/>
    </row>
    <row r="8" ht="51">
      <c r="A8" s="82"/>
      <c r="B8" s="83"/>
      <c r="C8" s="24" t="s">
        <v>110</v>
      </c>
      <c r="D8" s="95">
        <v>0</v>
      </c>
      <c r="E8" s="95">
        <v>0</v>
      </c>
      <c r="F8" s="95">
        <v>0</v>
      </c>
      <c r="G8" s="95">
        <v>0</v>
      </c>
      <c r="H8" s="22">
        <v>0</v>
      </c>
      <c r="I8" s="84"/>
    </row>
    <row r="9" ht="38.25">
      <c r="A9" s="82"/>
      <c r="B9" s="83"/>
      <c r="C9" s="21" t="s">
        <v>111</v>
      </c>
      <c r="D9" s="95">
        <v>0</v>
      </c>
      <c r="E9" s="95">
        <v>0</v>
      </c>
      <c r="F9" s="95">
        <v>0</v>
      </c>
      <c r="G9" s="95">
        <v>0</v>
      </c>
      <c r="H9" s="22">
        <v>0</v>
      </c>
      <c r="I9" s="84"/>
    </row>
    <row r="10" ht="25.5">
      <c r="A10" s="82"/>
      <c r="B10" s="83"/>
      <c r="C10" s="21" t="s">
        <v>112</v>
      </c>
      <c r="D10" s="95">
        <v>0</v>
      </c>
      <c r="E10" s="95">
        <v>0</v>
      </c>
      <c r="F10" s="95">
        <v>0</v>
      </c>
      <c r="G10" s="95">
        <v>0</v>
      </c>
      <c r="H10" s="22">
        <v>0</v>
      </c>
      <c r="I10" s="84"/>
    </row>
    <row r="11" ht="13.199999999999999">
      <c r="A11" s="82"/>
      <c r="B11" s="83"/>
      <c r="C11" s="21" t="s">
        <v>113</v>
      </c>
      <c r="D11" s="95">
        <v>0</v>
      </c>
      <c r="E11" s="95">
        <v>0</v>
      </c>
      <c r="F11" s="95">
        <v>0</v>
      </c>
      <c r="G11" s="95">
        <v>0</v>
      </c>
      <c r="H11" s="22">
        <v>0</v>
      </c>
      <c r="I11" s="84"/>
    </row>
    <row r="12" ht="38.25">
      <c r="A12" s="87"/>
      <c r="B12" s="85"/>
      <c r="C12" s="104" t="s">
        <v>114</v>
      </c>
      <c r="D12" s="94">
        <v>0</v>
      </c>
      <c r="E12" s="94">
        <v>0</v>
      </c>
      <c r="F12" s="94">
        <v>0</v>
      </c>
      <c r="G12" s="94">
        <v>0</v>
      </c>
      <c r="H12" s="27">
        <v>0</v>
      </c>
      <c r="I12" s="86"/>
    </row>
    <row r="13" ht="15.75" customHeight="1">
      <c r="A13" s="34" t="s">
        <v>41</v>
      </c>
      <c r="B13" s="10"/>
      <c r="C13" s="88"/>
      <c r="D13" s="89">
        <f>AVERAGE(D2:D12)</f>
        <v>0</v>
      </c>
      <c r="E13" s="89">
        <f>AVERAGE(E2:E12)</f>
        <v>0</v>
      </c>
      <c r="F13" s="89">
        <f>AVERAGE(F2:F12)</f>
        <v>0</v>
      </c>
      <c r="G13" s="89">
        <f>AVERAGE(G2:G12)</f>
        <v>0</v>
      </c>
      <c r="H13" s="89">
        <f>AVERAGE(H2:H12)</f>
        <v>0</v>
      </c>
      <c r="I13" s="90"/>
      <c r="K13" s="105" t="s">
        <v>24</v>
      </c>
      <c r="L13" s="106" t="s">
        <v>48</v>
      </c>
      <c r="M13" s="105" t="s">
        <v>49</v>
      </c>
      <c r="N13" s="105" t="s">
        <v>10</v>
      </c>
      <c r="O13" s="105" t="s">
        <v>13</v>
      </c>
    </row>
    <row r="14" ht="25.5">
      <c r="A14" s="38" t="s">
        <v>42</v>
      </c>
      <c r="B14" s="15" t="s">
        <v>10</v>
      </c>
      <c r="C14" s="16" t="s">
        <v>82</v>
      </c>
      <c r="D14" s="91">
        <v>0</v>
      </c>
      <c r="E14" s="91">
        <v>0</v>
      </c>
      <c r="F14" s="91">
        <v>0</v>
      </c>
      <c r="G14" s="91">
        <v>0</v>
      </c>
      <c r="H14" s="17">
        <v>0</v>
      </c>
      <c r="I14" s="79"/>
      <c r="K14" s="46" t="s">
        <v>31</v>
      </c>
      <c r="L14" s="47">
        <f>D13</f>
        <v>0</v>
      </c>
      <c r="M14" s="48">
        <f t="shared" ref="M14:M20" si="15">N14+(2-N14)*0.7</f>
        <v>1.6181818181818182</v>
      </c>
      <c r="N14" s="48">
        <f>2*4/(11)</f>
        <v>0.72727272727272729</v>
      </c>
      <c r="O14" s="49">
        <v>2</v>
      </c>
    </row>
    <row r="15" ht="25.5">
      <c r="A15" s="82"/>
      <c r="B15" s="83"/>
      <c r="C15" s="24" t="s">
        <v>83</v>
      </c>
      <c r="D15" s="95">
        <v>0</v>
      </c>
      <c r="E15" s="95">
        <v>0</v>
      </c>
      <c r="F15" s="95">
        <v>0</v>
      </c>
      <c r="G15" s="95">
        <v>0</v>
      </c>
      <c r="H15" s="22">
        <v>0</v>
      </c>
      <c r="I15" s="84"/>
      <c r="K15" s="50" t="s">
        <v>42</v>
      </c>
      <c r="L15" s="47">
        <f>D28</f>
        <v>0</v>
      </c>
      <c r="M15" s="48">
        <f t="shared" si="15"/>
        <v>1.7857142857142856</v>
      </c>
      <c r="N15" s="48">
        <f>2*9/(14)</f>
        <v>1.2857142857142858</v>
      </c>
      <c r="O15" s="49">
        <v>2</v>
      </c>
    </row>
    <row r="16" ht="13.199999999999999">
      <c r="A16" s="82"/>
      <c r="B16" s="83"/>
      <c r="C16" s="24" t="s">
        <v>84</v>
      </c>
      <c r="D16" s="95">
        <v>0</v>
      </c>
      <c r="E16" s="95">
        <v>0</v>
      </c>
      <c r="F16" s="95">
        <v>0</v>
      </c>
      <c r="G16" s="95">
        <v>0</v>
      </c>
      <c r="H16" s="22">
        <v>0</v>
      </c>
      <c r="I16" s="84"/>
      <c r="K16" s="43" t="s">
        <v>54</v>
      </c>
      <c r="L16" s="47">
        <f>D32</f>
        <v>0</v>
      </c>
      <c r="M16" s="48">
        <f t="shared" si="15"/>
        <v>2</v>
      </c>
      <c r="N16" s="48">
        <f>2</f>
        <v>2</v>
      </c>
      <c r="O16" s="49">
        <v>2</v>
      </c>
    </row>
    <row r="17" ht="25.5">
      <c r="A17" s="82"/>
      <c r="B17" s="83"/>
      <c r="C17" s="24" t="s">
        <v>85</v>
      </c>
      <c r="D17" s="95">
        <v>0</v>
      </c>
      <c r="E17" s="95">
        <v>0</v>
      </c>
      <c r="F17" s="95">
        <v>0</v>
      </c>
      <c r="G17" s="95">
        <v>0</v>
      </c>
      <c r="H17" s="22">
        <v>0</v>
      </c>
      <c r="I17" s="84"/>
      <c r="K17" s="55" t="s">
        <v>56</v>
      </c>
      <c r="L17" s="47">
        <f>D38</f>
        <v>0</v>
      </c>
      <c r="M17" s="48">
        <f t="shared" si="15"/>
        <v>1.7599999999999998</v>
      </c>
      <c r="N17" s="48">
        <f>2*3/5</f>
        <v>1.2</v>
      </c>
      <c r="O17" s="49">
        <v>2</v>
      </c>
    </row>
    <row r="18" ht="25.5">
      <c r="A18" s="82"/>
      <c r="B18" s="83"/>
      <c r="C18" s="24" t="s">
        <v>86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84"/>
      <c r="K18" s="56" t="s">
        <v>57</v>
      </c>
      <c r="L18" s="47">
        <f>D45</f>
        <v>0</v>
      </c>
      <c r="M18" s="48">
        <f t="shared" si="15"/>
        <v>1.7</v>
      </c>
      <c r="N18" s="48">
        <f>2*3/6</f>
        <v>1</v>
      </c>
      <c r="O18" s="49">
        <v>2</v>
      </c>
    </row>
    <row r="19" ht="25.5">
      <c r="A19" s="82"/>
      <c r="B19" s="83"/>
      <c r="C19" s="24" t="s">
        <v>87</v>
      </c>
      <c r="D19" s="95">
        <v>0</v>
      </c>
      <c r="E19" s="95">
        <v>0</v>
      </c>
      <c r="F19" s="95">
        <v>0</v>
      </c>
      <c r="G19" s="95">
        <v>0</v>
      </c>
      <c r="H19" s="95">
        <v>0</v>
      </c>
      <c r="I19" s="84"/>
      <c r="K19" s="58" t="s">
        <v>59</v>
      </c>
      <c r="L19" s="47">
        <f>D54</f>
        <v>0</v>
      </c>
      <c r="M19" s="48">
        <f t="shared" si="15"/>
        <v>1.7</v>
      </c>
      <c r="N19" s="48">
        <f>2*4/8</f>
        <v>1</v>
      </c>
      <c r="O19" s="49">
        <v>2</v>
      </c>
    </row>
    <row r="20" ht="25.5">
      <c r="A20" s="82"/>
      <c r="B20" s="83"/>
      <c r="C20" s="24" t="s">
        <v>88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84"/>
      <c r="K20" s="59" t="s">
        <v>61</v>
      </c>
      <c r="L20" s="47">
        <f>D60</f>
        <v>0</v>
      </c>
      <c r="M20" s="48">
        <f t="shared" si="15"/>
        <v>1.52</v>
      </c>
      <c r="N20" s="48">
        <f>2*1/5</f>
        <v>0.40000000000000002</v>
      </c>
      <c r="O20" s="49">
        <v>2</v>
      </c>
    </row>
    <row r="21" ht="13.199999999999999">
      <c r="A21" s="82"/>
      <c r="B21" s="83"/>
      <c r="C21" s="24" t="s">
        <v>89</v>
      </c>
      <c r="D21" s="95">
        <v>0</v>
      </c>
      <c r="E21" s="95">
        <v>0</v>
      </c>
      <c r="F21" s="95">
        <v>0</v>
      </c>
      <c r="G21" s="95">
        <v>0</v>
      </c>
      <c r="H21" s="95">
        <v>0</v>
      </c>
      <c r="I21" s="84"/>
    </row>
    <row r="22" ht="38.25">
      <c r="A22" s="82"/>
      <c r="B22" s="85"/>
      <c r="C22" s="26" t="s">
        <v>90</v>
      </c>
      <c r="D22" s="94">
        <v>0</v>
      </c>
      <c r="E22" s="94">
        <v>0</v>
      </c>
      <c r="F22" s="94">
        <v>0</v>
      </c>
      <c r="G22" s="94">
        <v>0</v>
      </c>
      <c r="H22" s="94">
        <v>0</v>
      </c>
      <c r="I22" s="86"/>
    </row>
    <row r="23" ht="25.5">
      <c r="A23" s="82"/>
      <c r="B23" s="15" t="s">
        <v>13</v>
      </c>
      <c r="C23" s="16" t="s">
        <v>115</v>
      </c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79"/>
    </row>
    <row r="24" ht="25.5">
      <c r="A24" s="82"/>
      <c r="B24" s="83"/>
      <c r="C24" s="24" t="s">
        <v>116</v>
      </c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84"/>
    </row>
    <row r="25" ht="25.5">
      <c r="A25" s="82"/>
      <c r="B25" s="83"/>
      <c r="C25" s="24" t="s">
        <v>117</v>
      </c>
      <c r="D25" s="95">
        <v>0</v>
      </c>
      <c r="E25" s="95">
        <v>0</v>
      </c>
      <c r="F25" s="95">
        <v>0</v>
      </c>
      <c r="G25" s="95">
        <v>0</v>
      </c>
      <c r="H25" s="95">
        <v>0</v>
      </c>
      <c r="I25" s="84"/>
    </row>
    <row r="26" ht="51">
      <c r="A26" s="82"/>
      <c r="B26" s="83"/>
      <c r="C26" s="24" t="s">
        <v>118</v>
      </c>
      <c r="D26" s="95">
        <v>0</v>
      </c>
      <c r="E26" s="95">
        <v>0</v>
      </c>
      <c r="F26" s="95">
        <v>0</v>
      </c>
      <c r="G26" s="95">
        <v>0</v>
      </c>
      <c r="H26" s="95">
        <v>0</v>
      </c>
      <c r="I26" s="84"/>
    </row>
    <row r="27" ht="25.5">
      <c r="A27" s="87"/>
      <c r="B27" s="85"/>
      <c r="C27" s="26" t="s">
        <v>119</v>
      </c>
      <c r="D27" s="94">
        <v>0</v>
      </c>
      <c r="E27" s="94">
        <v>0</v>
      </c>
      <c r="F27" s="94">
        <v>0</v>
      </c>
      <c r="G27" s="94">
        <v>0</v>
      </c>
      <c r="H27" s="94">
        <v>0</v>
      </c>
      <c r="I27" s="86"/>
    </row>
    <row r="28" ht="15.75" customHeight="1">
      <c r="A28" s="34" t="s">
        <v>41</v>
      </c>
      <c r="B28" s="10"/>
      <c r="C28" s="88"/>
      <c r="D28" s="36">
        <f>AVERAGE(D14:D27)</f>
        <v>0</v>
      </c>
      <c r="E28" s="36">
        <f t="shared" ref="E28:G28" si="16">AVERAGE(E14:E27)</f>
        <v>0</v>
      </c>
      <c r="F28" s="36">
        <f t="shared" si="16"/>
        <v>0</v>
      </c>
      <c r="G28" s="36">
        <f t="shared" si="16"/>
        <v>0</v>
      </c>
      <c r="H28" s="36">
        <f>AVERAGE(H14:H27)</f>
        <v>0</v>
      </c>
      <c r="I28" s="90"/>
    </row>
    <row r="29" ht="25.5">
      <c r="A29" s="45" t="s">
        <v>50</v>
      </c>
      <c r="B29" s="15" t="s">
        <v>10</v>
      </c>
      <c r="C29" s="16" t="s">
        <v>94</v>
      </c>
      <c r="D29" s="91">
        <v>0</v>
      </c>
      <c r="E29" s="91">
        <v>0</v>
      </c>
      <c r="F29" s="91">
        <v>0</v>
      </c>
      <c r="G29" s="91">
        <v>0</v>
      </c>
      <c r="H29" s="91">
        <v>0</v>
      </c>
      <c r="I29" s="79"/>
    </row>
    <row r="30" ht="25.5">
      <c r="A30" s="82"/>
      <c r="B30" s="107"/>
      <c r="C30" s="24" t="s">
        <v>95</v>
      </c>
      <c r="D30" s="95">
        <v>0</v>
      </c>
      <c r="E30" s="95">
        <v>0</v>
      </c>
      <c r="F30" s="95">
        <v>0</v>
      </c>
      <c r="G30" s="95">
        <v>0</v>
      </c>
      <c r="H30" s="95">
        <v>0</v>
      </c>
      <c r="I30" s="84"/>
    </row>
    <row r="31" ht="25.5">
      <c r="A31" s="87"/>
      <c r="B31" s="108" t="s">
        <v>13</v>
      </c>
      <c r="C31" s="26" t="s">
        <v>120</v>
      </c>
      <c r="D31" s="94">
        <v>0</v>
      </c>
      <c r="E31" s="94">
        <v>0</v>
      </c>
      <c r="F31" s="94">
        <v>0</v>
      </c>
      <c r="G31" s="94">
        <v>0</v>
      </c>
      <c r="H31" s="94">
        <v>0</v>
      </c>
      <c r="I31" s="86"/>
    </row>
    <row r="32" ht="15.75" customHeight="1">
      <c r="A32" s="34" t="s">
        <v>41</v>
      </c>
      <c r="B32" s="10"/>
      <c r="C32" s="88"/>
      <c r="D32" s="36">
        <f t="shared" ref="D32:H32" si="17">AVERAGE(D29:D31)</f>
        <v>0</v>
      </c>
      <c r="E32" s="36">
        <f t="shared" si="17"/>
        <v>0</v>
      </c>
      <c r="F32" s="36">
        <f t="shared" si="17"/>
        <v>0</v>
      </c>
      <c r="G32" s="36">
        <f t="shared" si="17"/>
        <v>0</v>
      </c>
      <c r="H32" s="36">
        <f t="shared" si="17"/>
        <v>0</v>
      </c>
      <c r="I32" s="90"/>
    </row>
    <row r="33" ht="25.5">
      <c r="A33" s="57" t="s">
        <v>56</v>
      </c>
      <c r="B33" s="15" t="s">
        <v>10</v>
      </c>
      <c r="C33" s="16" t="s">
        <v>96</v>
      </c>
      <c r="D33" s="91">
        <v>0</v>
      </c>
      <c r="E33" s="91">
        <v>0</v>
      </c>
      <c r="F33" s="91">
        <v>0</v>
      </c>
      <c r="G33" s="91">
        <v>0</v>
      </c>
      <c r="H33" s="91">
        <v>0</v>
      </c>
      <c r="I33" s="79"/>
    </row>
    <row r="34" ht="26.399999999999999">
      <c r="A34" s="82"/>
      <c r="B34" s="83"/>
      <c r="C34" s="24" t="s">
        <v>97</v>
      </c>
      <c r="D34" s="95">
        <v>0</v>
      </c>
      <c r="E34" s="95">
        <v>0</v>
      </c>
      <c r="F34" s="95">
        <v>0</v>
      </c>
      <c r="G34" s="95">
        <v>0</v>
      </c>
      <c r="H34" s="95">
        <v>0</v>
      </c>
      <c r="I34" s="84"/>
    </row>
    <row r="35" ht="51">
      <c r="A35" s="82"/>
      <c r="B35" s="85"/>
      <c r="C35" s="39" t="s">
        <v>98</v>
      </c>
      <c r="D35" s="94">
        <v>0</v>
      </c>
      <c r="E35" s="94">
        <v>0</v>
      </c>
      <c r="F35" s="94">
        <v>0</v>
      </c>
      <c r="G35" s="94">
        <v>0</v>
      </c>
      <c r="H35" s="94">
        <v>0</v>
      </c>
      <c r="I35" s="86"/>
    </row>
    <row r="36" ht="25.5">
      <c r="A36" s="82"/>
      <c r="B36" s="15" t="s">
        <v>13</v>
      </c>
      <c r="C36" s="16" t="s">
        <v>121</v>
      </c>
      <c r="D36" s="91">
        <v>0</v>
      </c>
      <c r="E36" s="91">
        <v>0</v>
      </c>
      <c r="F36" s="91">
        <v>0</v>
      </c>
      <c r="G36" s="91">
        <v>0</v>
      </c>
      <c r="H36" s="91">
        <v>0</v>
      </c>
      <c r="I36" s="79"/>
    </row>
    <row r="37" ht="25.5">
      <c r="A37" s="87"/>
      <c r="B37" s="85"/>
      <c r="C37" s="26" t="s">
        <v>122</v>
      </c>
      <c r="D37" s="94">
        <v>0</v>
      </c>
      <c r="E37" s="94">
        <v>0</v>
      </c>
      <c r="F37" s="94">
        <v>0</v>
      </c>
      <c r="G37" s="94">
        <v>0</v>
      </c>
      <c r="H37" s="94">
        <v>0</v>
      </c>
      <c r="I37" s="86"/>
    </row>
    <row r="38" ht="15.75" customHeight="1">
      <c r="A38" s="34" t="s">
        <v>41</v>
      </c>
      <c r="B38" s="10"/>
      <c r="C38" s="88"/>
      <c r="D38" s="36">
        <f t="shared" ref="D38:H38" si="18">AVERAGE(D30:D37)</f>
        <v>0</v>
      </c>
      <c r="E38" s="36">
        <f t="shared" si="18"/>
        <v>0</v>
      </c>
      <c r="F38" s="36">
        <f t="shared" si="18"/>
        <v>0</v>
      </c>
      <c r="G38" s="36">
        <f t="shared" si="18"/>
        <v>0</v>
      </c>
      <c r="H38" s="36">
        <f t="shared" si="18"/>
        <v>0</v>
      </c>
      <c r="I38" s="90"/>
    </row>
    <row r="39" ht="13.199999999999999">
      <c r="A39" s="60" t="s">
        <v>57</v>
      </c>
      <c r="B39" s="15" t="s">
        <v>10</v>
      </c>
      <c r="C39" s="16" t="s">
        <v>100</v>
      </c>
      <c r="D39" s="91">
        <v>0</v>
      </c>
      <c r="E39" s="91">
        <v>0</v>
      </c>
      <c r="F39" s="91">
        <v>0</v>
      </c>
      <c r="G39" s="91">
        <v>0</v>
      </c>
      <c r="H39" s="91">
        <v>0</v>
      </c>
      <c r="I39" s="79"/>
    </row>
    <row r="40" ht="13.199999999999999">
      <c r="A40" s="82"/>
      <c r="B40" s="83"/>
      <c r="C40" s="24" t="s">
        <v>101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84"/>
    </row>
    <row r="41" ht="25.5">
      <c r="A41" s="82"/>
      <c r="B41" s="85"/>
      <c r="C41" s="39" t="s">
        <v>102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86"/>
    </row>
    <row r="42" ht="25.5">
      <c r="A42" s="82"/>
      <c r="B42" s="15" t="s">
        <v>13</v>
      </c>
      <c r="C42" s="16" t="s">
        <v>123</v>
      </c>
      <c r="D42" s="91">
        <v>0</v>
      </c>
      <c r="E42" s="91">
        <v>0</v>
      </c>
      <c r="F42" s="91">
        <v>0</v>
      </c>
      <c r="G42" s="91">
        <v>0</v>
      </c>
      <c r="H42" s="91">
        <v>0</v>
      </c>
      <c r="I42" s="79"/>
    </row>
    <row r="43" ht="25.5">
      <c r="A43" s="82"/>
      <c r="B43" s="83"/>
      <c r="C43" s="24" t="s">
        <v>124</v>
      </c>
      <c r="D43" s="95">
        <v>0</v>
      </c>
      <c r="E43" s="95">
        <v>0</v>
      </c>
      <c r="F43" s="95">
        <v>0</v>
      </c>
      <c r="G43" s="95">
        <v>0</v>
      </c>
      <c r="H43" s="95">
        <v>0</v>
      </c>
      <c r="I43" s="84"/>
    </row>
    <row r="44" ht="25.5">
      <c r="A44" s="87"/>
      <c r="B44" s="85"/>
      <c r="C44" s="26" t="s">
        <v>125</v>
      </c>
      <c r="D44" s="94">
        <v>0</v>
      </c>
      <c r="E44" s="94">
        <v>0</v>
      </c>
      <c r="F44" s="94">
        <v>0</v>
      </c>
      <c r="G44" s="94">
        <v>0</v>
      </c>
      <c r="H44" s="94">
        <v>0</v>
      </c>
      <c r="I44" s="86"/>
    </row>
    <row r="45" ht="13.199999999999999">
      <c r="A45" s="34" t="s">
        <v>41</v>
      </c>
      <c r="B45" s="10"/>
      <c r="C45" s="88"/>
      <c r="D45" s="36">
        <f t="shared" ref="D45:H45" si="19">AVERAGE(D39:D44)</f>
        <v>0</v>
      </c>
      <c r="E45" s="36">
        <f t="shared" si="19"/>
        <v>0</v>
      </c>
      <c r="F45" s="36">
        <f t="shared" si="19"/>
        <v>0</v>
      </c>
      <c r="G45" s="36">
        <f t="shared" si="19"/>
        <v>0</v>
      </c>
      <c r="H45" s="36">
        <f t="shared" si="19"/>
        <v>0</v>
      </c>
      <c r="I45" s="90"/>
    </row>
    <row r="46" ht="25.5">
      <c r="A46" s="65" t="s">
        <v>59</v>
      </c>
      <c r="B46" s="15" t="s">
        <v>10</v>
      </c>
      <c r="C46" s="16" t="s">
        <v>103</v>
      </c>
      <c r="D46" s="91">
        <v>0</v>
      </c>
      <c r="E46" s="91">
        <v>0</v>
      </c>
      <c r="F46" s="91">
        <v>0</v>
      </c>
      <c r="G46" s="91">
        <v>0</v>
      </c>
      <c r="H46" s="91">
        <v>0</v>
      </c>
      <c r="I46" s="79"/>
    </row>
    <row r="47" ht="13.199999999999999">
      <c r="A47" s="82"/>
      <c r="B47" s="83"/>
      <c r="C47" s="24" t="s">
        <v>104</v>
      </c>
      <c r="D47" s="95">
        <v>0</v>
      </c>
      <c r="E47" s="95">
        <v>0</v>
      </c>
      <c r="F47" s="95">
        <v>0</v>
      </c>
      <c r="G47" s="95">
        <v>0</v>
      </c>
      <c r="H47" s="95">
        <v>0</v>
      </c>
      <c r="I47" s="84"/>
    </row>
    <row r="48" ht="51">
      <c r="A48" s="82"/>
      <c r="B48" s="83"/>
      <c r="C48" s="24" t="s">
        <v>105</v>
      </c>
      <c r="D48" s="95">
        <v>0</v>
      </c>
      <c r="E48" s="95">
        <v>0</v>
      </c>
      <c r="F48" s="95">
        <v>0</v>
      </c>
      <c r="G48" s="95">
        <v>0</v>
      </c>
      <c r="H48" s="95">
        <v>0</v>
      </c>
      <c r="I48" s="84"/>
    </row>
    <row r="49" ht="25.5">
      <c r="A49" s="82"/>
      <c r="B49" s="85"/>
      <c r="C49" s="26" t="s">
        <v>126</v>
      </c>
      <c r="D49" s="94">
        <v>0</v>
      </c>
      <c r="E49" s="94">
        <v>0</v>
      </c>
      <c r="F49" s="94">
        <v>0</v>
      </c>
      <c r="G49" s="94">
        <v>0</v>
      </c>
      <c r="H49" s="94">
        <v>0</v>
      </c>
      <c r="I49" s="86"/>
    </row>
    <row r="50" ht="38.25">
      <c r="A50" s="82"/>
      <c r="B50" s="15" t="s">
        <v>13</v>
      </c>
      <c r="C50" s="16" t="s">
        <v>127</v>
      </c>
      <c r="D50" s="91">
        <v>0</v>
      </c>
      <c r="E50" s="91">
        <v>0</v>
      </c>
      <c r="F50" s="91">
        <v>0</v>
      </c>
      <c r="G50" s="91">
        <v>0</v>
      </c>
      <c r="H50" s="91">
        <v>0</v>
      </c>
      <c r="I50" s="79"/>
    </row>
    <row r="51" ht="38.25">
      <c r="A51" s="82"/>
      <c r="B51" s="83"/>
      <c r="C51" s="24" t="s">
        <v>128</v>
      </c>
      <c r="D51" s="95">
        <v>0</v>
      </c>
      <c r="E51" s="95">
        <v>0</v>
      </c>
      <c r="F51" s="95">
        <v>0</v>
      </c>
      <c r="G51" s="95">
        <v>0</v>
      </c>
      <c r="H51" s="95">
        <v>0</v>
      </c>
      <c r="I51" s="84"/>
    </row>
    <row r="52" ht="38.25">
      <c r="A52" s="82"/>
      <c r="B52" s="83"/>
      <c r="C52" s="24" t="s">
        <v>129</v>
      </c>
      <c r="D52" s="95">
        <v>0</v>
      </c>
      <c r="E52" s="95">
        <v>0</v>
      </c>
      <c r="F52" s="95">
        <v>0</v>
      </c>
      <c r="G52" s="95">
        <v>0</v>
      </c>
      <c r="H52" s="95">
        <v>0</v>
      </c>
      <c r="I52" s="84"/>
    </row>
    <row r="53" ht="25.5">
      <c r="A53" s="82"/>
      <c r="B53" s="83"/>
      <c r="C53" s="24" t="s">
        <v>130</v>
      </c>
      <c r="D53" s="95">
        <v>0</v>
      </c>
      <c r="E53" s="95">
        <v>0</v>
      </c>
      <c r="F53" s="95">
        <v>0</v>
      </c>
      <c r="G53" s="95">
        <v>0</v>
      </c>
      <c r="H53" s="95">
        <v>0</v>
      </c>
      <c r="I53" s="84"/>
    </row>
    <row r="54" ht="15.75" customHeight="1">
      <c r="A54" s="34" t="s">
        <v>41</v>
      </c>
      <c r="B54" s="10"/>
      <c r="C54" s="88"/>
      <c r="D54" s="89">
        <f>AVERAGE(D46:D53)</f>
        <v>0</v>
      </c>
      <c r="E54" s="89">
        <f t="shared" ref="E54:G54" si="20">AVERAGE(E46:E53)</f>
        <v>0</v>
      </c>
      <c r="F54" s="89">
        <f t="shared" si="20"/>
        <v>0</v>
      </c>
      <c r="G54" s="89">
        <f t="shared" si="20"/>
        <v>0</v>
      </c>
      <c r="H54" s="89">
        <f>AVERAGE(H46:H53)</f>
        <v>0</v>
      </c>
      <c r="I54" s="90"/>
    </row>
    <row r="55" ht="87.599999999999994" customHeight="1">
      <c r="A55" s="67" t="s">
        <v>70</v>
      </c>
      <c r="B55" s="51" t="s">
        <v>10</v>
      </c>
      <c r="C55" s="53" t="s">
        <v>107</v>
      </c>
      <c r="D55" s="96">
        <v>0</v>
      </c>
      <c r="E55" s="96">
        <v>0</v>
      </c>
      <c r="F55" s="96">
        <v>0</v>
      </c>
      <c r="G55" s="96">
        <v>0</v>
      </c>
      <c r="H55" s="96">
        <v>0</v>
      </c>
      <c r="I55" s="97"/>
    </row>
    <row r="56" ht="13.199999999999999">
      <c r="A56" s="82"/>
      <c r="B56" s="15" t="s">
        <v>13</v>
      </c>
      <c r="C56" s="16" t="s">
        <v>131</v>
      </c>
      <c r="D56" s="91">
        <v>0</v>
      </c>
      <c r="E56" s="91">
        <v>0</v>
      </c>
      <c r="F56" s="91">
        <v>0</v>
      </c>
      <c r="G56" s="91">
        <v>0</v>
      </c>
      <c r="H56" s="91">
        <v>0</v>
      </c>
      <c r="I56" s="79"/>
    </row>
    <row r="57" ht="25.5">
      <c r="A57" s="82"/>
      <c r="B57" s="83"/>
      <c r="C57" s="24" t="s">
        <v>132</v>
      </c>
      <c r="D57" s="95">
        <v>0</v>
      </c>
      <c r="E57" s="95">
        <v>0</v>
      </c>
      <c r="F57" s="95">
        <v>0</v>
      </c>
      <c r="G57" s="95">
        <v>0</v>
      </c>
      <c r="H57" s="95">
        <v>0</v>
      </c>
      <c r="I57" s="84"/>
    </row>
    <row r="58" ht="25.5">
      <c r="A58" s="82"/>
      <c r="B58" s="83"/>
      <c r="C58" s="24" t="s">
        <v>133</v>
      </c>
      <c r="D58" s="95">
        <v>0</v>
      </c>
      <c r="E58" s="95">
        <v>0</v>
      </c>
      <c r="F58" s="95">
        <v>0</v>
      </c>
      <c r="G58" s="95">
        <v>0</v>
      </c>
      <c r="H58" s="95">
        <v>0</v>
      </c>
      <c r="I58" s="84"/>
    </row>
    <row r="59" ht="13.199999999999999">
      <c r="A59" s="87"/>
      <c r="B59" s="85"/>
      <c r="C59" s="26" t="s">
        <v>134</v>
      </c>
      <c r="D59" s="94">
        <v>0</v>
      </c>
      <c r="E59" s="94">
        <v>0</v>
      </c>
      <c r="F59" s="94">
        <v>0</v>
      </c>
      <c r="G59" s="94">
        <v>0</v>
      </c>
      <c r="H59" s="94">
        <v>0</v>
      </c>
      <c r="I59" s="86"/>
    </row>
    <row r="60" ht="15.75" customHeight="1">
      <c r="A60" s="69" t="s">
        <v>41</v>
      </c>
      <c r="B60" s="98"/>
      <c r="C60" s="99"/>
      <c r="D60" s="100">
        <f t="shared" ref="D60:H60" si="21">AVERAGE(D55:D59)</f>
        <v>0</v>
      </c>
      <c r="E60" s="100">
        <f t="shared" si="21"/>
        <v>0</v>
      </c>
      <c r="F60" s="100">
        <f t="shared" si="21"/>
        <v>0</v>
      </c>
      <c r="G60" s="100">
        <f t="shared" si="21"/>
        <v>0</v>
      </c>
      <c r="H60" s="100">
        <f t="shared" si="21"/>
        <v>0</v>
      </c>
      <c r="I60" s="101"/>
    </row>
    <row r="61" ht="15.75" customHeight="1">
      <c r="A61" s="74"/>
      <c r="B61" s="61"/>
      <c r="C61" s="61"/>
      <c r="D61" s="75"/>
      <c r="E61" s="75"/>
      <c r="F61" s="75"/>
      <c r="G61" s="75"/>
      <c r="H61" s="62"/>
    </row>
    <row r="62" ht="15.75" customHeight="1">
      <c r="A62" s="74"/>
    </row>
    <row r="63" ht="15.75" customHeight="1">
      <c r="A63" s="74"/>
    </row>
    <row r="64" ht="15.75" customHeight="1">
      <c r="A64" s="74"/>
    </row>
    <row r="65" ht="15.75" customHeight="1">
      <c r="A65" s="74"/>
    </row>
    <row r="66" ht="15.75" customHeight="1">
      <c r="A66" s="74"/>
    </row>
    <row r="67" ht="15.75" customHeight="1">
      <c r="A67" s="74"/>
    </row>
    <row r="68" ht="15.75" customHeight="1">
      <c r="A68" s="74"/>
    </row>
    <row r="69" ht="15.75" customHeight="1">
      <c r="A69" s="74"/>
    </row>
    <row r="70" ht="15.75" customHeight="1">
      <c r="A70" s="74"/>
      <c r="B70" s="61"/>
      <c r="C70" s="61"/>
      <c r="H70" s="62"/>
    </row>
    <row r="71" ht="15.75" customHeight="1">
      <c r="A71" s="74"/>
      <c r="B71" s="61"/>
      <c r="C71" s="61"/>
      <c r="H71" s="62"/>
    </row>
    <row r="72" ht="15.75" customHeight="1">
      <c r="A72" s="74"/>
      <c r="B72" s="61"/>
      <c r="C72" s="61"/>
      <c r="H72" s="62"/>
    </row>
    <row r="73" ht="15.75" customHeight="1">
      <c r="A73" s="74"/>
      <c r="B73" s="61"/>
      <c r="C73" s="61"/>
      <c r="H73" s="62"/>
    </row>
    <row r="74" ht="15.75" customHeight="1">
      <c r="A74" s="74"/>
      <c r="B74" s="61"/>
      <c r="C74" s="61"/>
      <c r="H74" s="62"/>
    </row>
    <row r="75" ht="15.75" customHeight="1">
      <c r="A75" s="74"/>
      <c r="B75" s="61"/>
      <c r="C75" s="61"/>
      <c r="H75" s="62"/>
    </row>
    <row r="76" ht="15.75" customHeight="1">
      <c r="A76" s="74"/>
      <c r="B76" s="61"/>
      <c r="C76" s="61"/>
      <c r="H76" s="62"/>
    </row>
    <row r="77" ht="15.75" customHeight="1">
      <c r="A77" s="74"/>
      <c r="B77" s="61"/>
      <c r="C77" s="61"/>
      <c r="H77" s="62"/>
    </row>
    <row r="78" ht="15.75" customHeight="1">
      <c r="A78" s="74"/>
      <c r="B78" s="61"/>
      <c r="C78" s="61"/>
      <c r="H78" s="62"/>
    </row>
    <row r="79" ht="15.75" customHeight="1">
      <c r="A79" s="74"/>
      <c r="B79" s="61"/>
      <c r="C79" s="61"/>
      <c r="H79" s="62"/>
    </row>
    <row r="80" ht="15.75" customHeight="1">
      <c r="A80" s="74"/>
      <c r="B80" s="61"/>
      <c r="C80" s="61"/>
      <c r="H80" s="62"/>
    </row>
    <row r="81" ht="15.75" customHeight="1">
      <c r="A81" s="74"/>
      <c r="B81" s="61"/>
      <c r="C81" s="61"/>
      <c r="H81" s="62"/>
    </row>
    <row r="82" ht="15.75" customHeight="1">
      <c r="A82" s="74"/>
      <c r="B82" s="61"/>
      <c r="C82" s="61"/>
      <c r="H82" s="62"/>
    </row>
    <row r="83" ht="15.75" customHeight="1">
      <c r="A83" s="74"/>
      <c r="B83" s="61"/>
      <c r="C83" s="61"/>
      <c r="H83" s="62"/>
    </row>
    <row r="84" ht="15.75" customHeight="1">
      <c r="A84" s="74"/>
      <c r="B84" s="61"/>
      <c r="C84" s="61"/>
      <c r="H84" s="62"/>
    </row>
    <row r="85" ht="15.75" customHeight="1">
      <c r="A85" s="74"/>
      <c r="B85" s="61"/>
      <c r="C85" s="61"/>
      <c r="H85" s="62"/>
    </row>
    <row r="86" ht="15.75" customHeight="1">
      <c r="A86" s="74"/>
      <c r="B86" s="61"/>
      <c r="C86" s="61"/>
      <c r="H86" s="62"/>
    </row>
    <row r="87" ht="15.75" customHeight="1">
      <c r="A87" s="74"/>
      <c r="B87" s="61"/>
      <c r="C87" s="61"/>
      <c r="H87" s="62"/>
    </row>
    <row r="88" ht="15.75" customHeight="1">
      <c r="A88" s="74"/>
      <c r="B88" s="61"/>
      <c r="C88" s="61"/>
      <c r="H88" s="62"/>
    </row>
    <row r="89" ht="15.75" customHeight="1">
      <c r="A89" s="74"/>
      <c r="B89" s="61"/>
      <c r="C89" s="61"/>
      <c r="H89" s="62"/>
    </row>
    <row r="90" ht="15.75" customHeight="1">
      <c r="A90" s="74"/>
      <c r="B90" s="61"/>
      <c r="C90" s="61"/>
      <c r="H90" s="62"/>
    </row>
    <row r="91" ht="15.75" customHeight="1">
      <c r="A91" s="74"/>
      <c r="B91" s="61"/>
      <c r="C91" s="61"/>
      <c r="H91" s="62"/>
    </row>
    <row r="92" ht="15.75" customHeight="1">
      <c r="A92" s="74"/>
      <c r="B92" s="61"/>
      <c r="C92" s="61"/>
      <c r="H92" s="62"/>
    </row>
    <row r="93" ht="15.75" customHeight="1">
      <c r="A93" s="74"/>
      <c r="B93" s="61"/>
      <c r="C93" s="61"/>
      <c r="H93" s="62"/>
    </row>
    <row r="94" ht="15.75" customHeight="1">
      <c r="A94" s="74"/>
      <c r="B94" s="61"/>
      <c r="C94" s="61"/>
      <c r="H94" s="62"/>
    </row>
    <row r="95" ht="15.75" customHeight="1">
      <c r="A95" s="74"/>
      <c r="B95" s="61"/>
      <c r="C95" s="61"/>
      <c r="H95" s="62"/>
    </row>
    <row r="96" ht="15.75" customHeight="1">
      <c r="A96" s="74"/>
      <c r="B96" s="61"/>
      <c r="C96" s="61"/>
      <c r="H96" s="62"/>
    </row>
    <row r="97" ht="15.75" customHeight="1">
      <c r="A97" s="74"/>
      <c r="B97" s="61"/>
      <c r="C97" s="61"/>
      <c r="H97" s="62"/>
    </row>
    <row r="98" ht="15.75" customHeight="1">
      <c r="A98" s="74"/>
      <c r="B98" s="61"/>
      <c r="C98" s="61"/>
      <c r="H98" s="62"/>
    </row>
    <row r="99" ht="15.75" customHeight="1">
      <c r="A99" s="74"/>
      <c r="B99" s="61"/>
      <c r="C99" s="61"/>
      <c r="H99" s="62"/>
    </row>
    <row r="100" ht="15.75" customHeight="1">
      <c r="A100" s="74"/>
      <c r="B100" s="61"/>
      <c r="C100" s="61"/>
      <c r="H100" s="62"/>
    </row>
    <row r="101" ht="15.75" customHeight="1">
      <c r="A101" s="74"/>
      <c r="B101" s="61"/>
      <c r="C101" s="61"/>
      <c r="H101" s="62"/>
    </row>
    <row r="102" ht="15.75" customHeight="1">
      <c r="A102" s="74"/>
      <c r="B102" s="61"/>
      <c r="C102" s="61"/>
      <c r="H102" s="62"/>
    </row>
    <row r="103" ht="15.75" customHeight="1">
      <c r="A103" s="74"/>
      <c r="B103" s="61"/>
      <c r="C103" s="61"/>
      <c r="H103" s="62"/>
    </row>
    <row r="104" ht="15.75" customHeight="1">
      <c r="A104" s="74"/>
      <c r="B104" s="61"/>
      <c r="C104" s="61"/>
      <c r="H104" s="62"/>
    </row>
    <row r="105" ht="15.75" customHeight="1">
      <c r="A105" s="74"/>
      <c r="B105" s="61"/>
      <c r="C105" s="61"/>
      <c r="H105" s="62"/>
    </row>
    <row r="106" ht="15.75" customHeight="1">
      <c r="A106" s="74"/>
      <c r="B106" s="61"/>
      <c r="C106" s="61"/>
      <c r="H106" s="62"/>
    </row>
    <row r="107" ht="15.75" customHeight="1">
      <c r="A107" s="74"/>
      <c r="B107" s="61"/>
      <c r="C107" s="61"/>
      <c r="H107" s="62"/>
    </row>
    <row r="108" ht="15.75" customHeight="1">
      <c r="A108" s="74"/>
      <c r="B108" s="61"/>
      <c r="C108" s="61"/>
      <c r="H108" s="62"/>
    </row>
    <row r="109" ht="15.75" customHeight="1">
      <c r="A109" s="74"/>
      <c r="B109" s="61"/>
      <c r="C109" s="61"/>
      <c r="H109" s="62"/>
    </row>
    <row r="110" ht="15.75" customHeight="1">
      <c r="A110" s="74"/>
      <c r="B110" s="61"/>
      <c r="C110" s="61"/>
      <c r="H110" s="62"/>
    </row>
    <row r="111" ht="15.75" customHeight="1">
      <c r="A111" s="74"/>
      <c r="B111" s="61"/>
      <c r="C111" s="61"/>
      <c r="H111" s="62"/>
    </row>
    <row r="112" ht="15.75" customHeight="1">
      <c r="A112" s="74"/>
      <c r="B112" s="61"/>
      <c r="C112" s="61"/>
      <c r="H112" s="62"/>
    </row>
    <row r="113" ht="15.75" customHeight="1">
      <c r="A113" s="74"/>
      <c r="B113" s="61"/>
      <c r="C113" s="61"/>
      <c r="H113" s="62"/>
    </row>
    <row r="114" ht="15.75" customHeight="1">
      <c r="A114" s="74"/>
      <c r="B114" s="61"/>
      <c r="C114" s="61"/>
      <c r="H114" s="62"/>
    </row>
    <row r="115" ht="15.75" customHeight="1">
      <c r="A115" s="74"/>
      <c r="B115" s="61"/>
      <c r="C115" s="61"/>
      <c r="H115" s="62"/>
    </row>
    <row r="116" ht="15.75" customHeight="1">
      <c r="A116" s="74"/>
      <c r="B116" s="61"/>
      <c r="C116" s="61"/>
      <c r="H116" s="62"/>
    </row>
    <row r="117" ht="15.75" customHeight="1">
      <c r="A117" s="74"/>
      <c r="B117" s="61"/>
      <c r="C117" s="61"/>
      <c r="H117" s="62"/>
    </row>
    <row r="118" ht="15.75" customHeight="1">
      <c r="A118" s="74"/>
      <c r="B118" s="61"/>
      <c r="C118" s="61"/>
      <c r="H118" s="62"/>
    </row>
    <row r="119" ht="15.75" customHeight="1">
      <c r="A119" s="74"/>
      <c r="B119" s="61"/>
      <c r="C119" s="61"/>
      <c r="H119" s="62"/>
    </row>
    <row r="120" ht="15.75" customHeight="1">
      <c r="A120" s="74"/>
      <c r="B120" s="61"/>
      <c r="C120" s="61"/>
      <c r="H120" s="62"/>
    </row>
    <row r="121" ht="15.75" customHeight="1">
      <c r="A121" s="74"/>
      <c r="B121" s="61"/>
      <c r="C121" s="61"/>
      <c r="H121" s="62"/>
    </row>
    <row r="122" ht="15.75" customHeight="1">
      <c r="A122" s="74"/>
      <c r="B122" s="61"/>
      <c r="C122" s="61"/>
      <c r="H122" s="62"/>
    </row>
    <row r="123" ht="15.75" customHeight="1">
      <c r="A123" s="74"/>
      <c r="B123" s="61"/>
      <c r="C123" s="61"/>
      <c r="H123" s="62"/>
    </row>
    <row r="124" ht="15.75" customHeight="1">
      <c r="A124" s="74"/>
      <c r="B124" s="61"/>
      <c r="C124" s="61"/>
      <c r="H124" s="62"/>
    </row>
    <row r="125" ht="15.75" customHeight="1">
      <c r="A125" s="74"/>
      <c r="B125" s="61"/>
      <c r="C125" s="61"/>
      <c r="H125" s="62"/>
    </row>
    <row r="126" ht="15.75" customHeight="1">
      <c r="A126" s="74"/>
      <c r="B126" s="61"/>
      <c r="C126" s="61"/>
      <c r="H126" s="62"/>
    </row>
    <row r="127" ht="15.75" customHeight="1">
      <c r="A127" s="74"/>
      <c r="B127" s="61"/>
      <c r="C127" s="61"/>
      <c r="H127" s="62"/>
    </row>
    <row r="128" ht="15.75" customHeight="1">
      <c r="A128" s="74"/>
      <c r="B128" s="61"/>
      <c r="C128" s="61"/>
      <c r="H128" s="62"/>
    </row>
    <row r="129" ht="15.75" customHeight="1">
      <c r="A129" s="74"/>
      <c r="B129" s="61"/>
      <c r="C129" s="61"/>
      <c r="H129" s="62"/>
    </row>
    <row r="130" ht="15.75" customHeight="1">
      <c r="A130" s="74"/>
      <c r="B130" s="61"/>
      <c r="C130" s="61"/>
      <c r="H130" s="62"/>
    </row>
    <row r="131" ht="15.75" customHeight="1">
      <c r="A131" s="74"/>
      <c r="B131" s="61"/>
      <c r="C131" s="61"/>
      <c r="H131" s="62"/>
    </row>
    <row r="132" ht="15.75" customHeight="1">
      <c r="A132" s="74"/>
      <c r="B132" s="61"/>
      <c r="C132" s="61"/>
      <c r="H132" s="62"/>
    </row>
    <row r="133" ht="15.75" customHeight="1">
      <c r="A133" s="74"/>
      <c r="B133" s="61"/>
      <c r="C133" s="61"/>
      <c r="H133" s="62"/>
    </row>
    <row r="134" ht="15.75" customHeight="1">
      <c r="A134" s="74"/>
      <c r="B134" s="61"/>
      <c r="C134" s="61"/>
      <c r="H134" s="62"/>
    </row>
    <row r="135" ht="15.75" customHeight="1">
      <c r="A135" s="74"/>
      <c r="B135" s="61"/>
      <c r="C135" s="61"/>
      <c r="H135" s="62"/>
    </row>
    <row r="136" ht="15.75" customHeight="1">
      <c r="A136" s="74"/>
      <c r="B136" s="61"/>
      <c r="C136" s="61"/>
      <c r="H136" s="62"/>
    </row>
    <row r="137" ht="15.75" customHeight="1">
      <c r="A137" s="74"/>
      <c r="B137" s="61"/>
      <c r="C137" s="61"/>
      <c r="H137" s="62"/>
    </row>
    <row r="138" ht="15.75" customHeight="1">
      <c r="A138" s="74"/>
      <c r="B138" s="61"/>
      <c r="C138" s="61"/>
      <c r="H138" s="62"/>
    </row>
    <row r="139" ht="15.75" customHeight="1">
      <c r="A139" s="74"/>
      <c r="B139" s="61"/>
      <c r="C139" s="61"/>
      <c r="H139" s="62"/>
    </row>
    <row r="140" ht="15.75" customHeight="1">
      <c r="A140" s="74"/>
      <c r="B140" s="61"/>
      <c r="C140" s="61"/>
      <c r="H140" s="62"/>
    </row>
    <row r="141" ht="15.75" customHeight="1">
      <c r="A141" s="74"/>
      <c r="B141" s="61"/>
      <c r="C141" s="61"/>
      <c r="H141" s="62"/>
    </row>
    <row r="142" ht="15.75" customHeight="1">
      <c r="A142" s="74"/>
      <c r="B142" s="61"/>
      <c r="C142" s="61"/>
      <c r="H142" s="62"/>
    </row>
    <row r="143" ht="15.75" customHeight="1">
      <c r="A143" s="74"/>
      <c r="B143" s="61"/>
      <c r="C143" s="61"/>
      <c r="H143" s="62"/>
    </row>
    <row r="144" ht="15.75" customHeight="1">
      <c r="A144" s="74"/>
      <c r="B144" s="61"/>
      <c r="C144" s="61"/>
      <c r="H144" s="62"/>
    </row>
    <row r="145" ht="15.75" customHeight="1">
      <c r="A145" s="74"/>
      <c r="B145" s="61"/>
      <c r="C145" s="61"/>
      <c r="H145" s="62"/>
    </row>
    <row r="146" ht="15.75" customHeight="1">
      <c r="A146" s="74"/>
      <c r="B146" s="61"/>
      <c r="C146" s="61"/>
      <c r="H146" s="62"/>
    </row>
    <row r="147" ht="15.75" customHeight="1">
      <c r="A147" s="74"/>
      <c r="B147" s="61"/>
      <c r="C147" s="61"/>
      <c r="H147" s="62"/>
    </row>
    <row r="148" ht="15.75" customHeight="1">
      <c r="A148" s="74"/>
      <c r="B148" s="61"/>
      <c r="C148" s="61"/>
      <c r="H148" s="62"/>
    </row>
    <row r="149" ht="15.75" customHeight="1">
      <c r="A149" s="74"/>
      <c r="B149" s="61"/>
      <c r="C149" s="61"/>
      <c r="H149" s="62"/>
    </row>
    <row r="150" ht="15.75" customHeight="1">
      <c r="A150" s="74"/>
      <c r="B150" s="61"/>
      <c r="C150" s="61"/>
      <c r="H150" s="62"/>
    </row>
    <row r="151" ht="15.75" customHeight="1">
      <c r="A151" s="74"/>
      <c r="B151" s="61"/>
      <c r="C151" s="61"/>
      <c r="H151" s="62"/>
    </row>
    <row r="152" ht="15.75" customHeight="1">
      <c r="A152" s="74"/>
      <c r="B152" s="61"/>
      <c r="C152" s="61"/>
      <c r="H152" s="62"/>
    </row>
    <row r="153" ht="15.75" customHeight="1">
      <c r="A153" s="74"/>
      <c r="B153" s="61"/>
      <c r="C153" s="61"/>
      <c r="H153" s="62"/>
    </row>
    <row r="154" ht="15.75" customHeight="1">
      <c r="A154" s="74"/>
      <c r="B154" s="61"/>
      <c r="C154" s="61"/>
      <c r="H154" s="62"/>
    </row>
    <row r="155" ht="15.75" customHeight="1">
      <c r="A155" s="74"/>
      <c r="B155" s="61"/>
      <c r="C155" s="61"/>
      <c r="H155" s="62"/>
    </row>
    <row r="156" ht="15.75" customHeight="1">
      <c r="A156" s="74"/>
      <c r="B156" s="61"/>
      <c r="C156" s="61"/>
      <c r="H156" s="62"/>
    </row>
    <row r="157" ht="15.75" customHeight="1">
      <c r="A157" s="74"/>
      <c r="B157" s="61"/>
      <c r="C157" s="61"/>
      <c r="H157" s="62"/>
    </row>
    <row r="158" ht="15.75" customHeight="1">
      <c r="A158" s="74"/>
      <c r="B158" s="61"/>
      <c r="C158" s="61"/>
      <c r="H158" s="62"/>
    </row>
    <row r="159" ht="15.75" customHeight="1">
      <c r="A159" s="74"/>
      <c r="B159" s="61"/>
      <c r="C159" s="61"/>
      <c r="H159" s="62"/>
    </row>
    <row r="160" ht="15.75" customHeight="1">
      <c r="A160" s="74"/>
      <c r="B160" s="61"/>
      <c r="C160" s="61"/>
      <c r="H160" s="62"/>
    </row>
    <row r="161" ht="15.75" customHeight="1">
      <c r="A161" s="74"/>
      <c r="B161" s="61"/>
      <c r="C161" s="61"/>
      <c r="H161" s="62"/>
    </row>
    <row r="162" ht="15.75" customHeight="1">
      <c r="A162" s="74"/>
      <c r="B162" s="61"/>
      <c r="C162" s="61"/>
      <c r="H162" s="62"/>
    </row>
    <row r="163" ht="15.75" customHeight="1">
      <c r="A163" s="74"/>
      <c r="B163" s="61"/>
      <c r="C163" s="61"/>
      <c r="H163" s="62"/>
    </row>
    <row r="164" ht="15.75" customHeight="1">
      <c r="A164" s="74"/>
      <c r="B164" s="61"/>
      <c r="C164" s="61"/>
      <c r="H164" s="62"/>
    </row>
    <row r="165" ht="15.75" customHeight="1">
      <c r="A165" s="74"/>
      <c r="B165" s="61"/>
      <c r="C165" s="61"/>
      <c r="H165" s="62"/>
    </row>
    <row r="166" ht="15.75" customHeight="1">
      <c r="A166" s="74"/>
      <c r="B166" s="61"/>
      <c r="C166" s="61"/>
      <c r="H166" s="62"/>
    </row>
    <row r="167" ht="15.75" customHeight="1">
      <c r="A167" s="74"/>
      <c r="B167" s="61"/>
      <c r="C167" s="61"/>
      <c r="H167" s="62"/>
    </row>
    <row r="168" ht="15.75" customHeight="1">
      <c r="A168" s="74"/>
      <c r="B168" s="61"/>
      <c r="C168" s="61"/>
      <c r="H168" s="62"/>
    </row>
    <row r="169" ht="15.75" customHeight="1">
      <c r="A169" s="74"/>
      <c r="B169" s="61"/>
      <c r="C169" s="61"/>
      <c r="H169" s="62"/>
    </row>
    <row r="170" ht="15.75" customHeight="1">
      <c r="A170" s="74"/>
      <c r="B170" s="61"/>
      <c r="C170" s="61"/>
      <c r="H170" s="62"/>
    </row>
    <row r="171" ht="15.75" customHeight="1">
      <c r="A171" s="74"/>
      <c r="B171" s="61"/>
      <c r="C171" s="61"/>
      <c r="H171" s="62"/>
    </row>
    <row r="172" ht="15.75" customHeight="1">
      <c r="A172" s="74"/>
      <c r="B172" s="61"/>
      <c r="C172" s="61"/>
      <c r="H172" s="62"/>
    </row>
    <row r="173" ht="15.75" customHeight="1">
      <c r="A173" s="74"/>
      <c r="B173" s="61"/>
      <c r="C173" s="61"/>
      <c r="H173" s="62"/>
    </row>
    <row r="174" ht="15.75" customHeight="1">
      <c r="A174" s="74"/>
      <c r="B174" s="61"/>
      <c r="C174" s="61"/>
      <c r="H174" s="62"/>
    </row>
    <row r="175" ht="15.75" customHeight="1">
      <c r="A175" s="74"/>
      <c r="B175" s="61"/>
      <c r="C175" s="61"/>
      <c r="H175" s="62"/>
    </row>
    <row r="176" ht="15.75" customHeight="1">
      <c r="A176" s="74"/>
      <c r="B176" s="61"/>
      <c r="C176" s="61"/>
      <c r="H176" s="62"/>
    </row>
    <row r="177" ht="15.75" customHeight="1">
      <c r="A177" s="74"/>
      <c r="B177" s="61"/>
      <c r="C177" s="61"/>
      <c r="H177" s="62"/>
    </row>
    <row r="178" ht="15.75" customHeight="1">
      <c r="A178" s="74"/>
      <c r="B178" s="61"/>
      <c r="C178" s="61"/>
      <c r="H178" s="62"/>
    </row>
    <row r="179" ht="15.75" customHeight="1">
      <c r="A179" s="74"/>
      <c r="B179" s="61"/>
      <c r="C179" s="61"/>
      <c r="H179" s="62"/>
    </row>
    <row r="180" ht="15.75" customHeight="1">
      <c r="A180" s="74"/>
      <c r="B180" s="61"/>
      <c r="C180" s="61"/>
      <c r="H180" s="62"/>
    </row>
    <row r="181" ht="15.75" customHeight="1">
      <c r="A181" s="74"/>
      <c r="B181" s="61"/>
      <c r="C181" s="61"/>
      <c r="H181" s="62"/>
    </row>
    <row r="182" ht="15.75" customHeight="1">
      <c r="A182" s="74"/>
      <c r="B182" s="61"/>
      <c r="C182" s="61"/>
      <c r="H182" s="62"/>
    </row>
    <row r="183" ht="15.75" customHeight="1">
      <c r="A183" s="74"/>
      <c r="B183" s="61"/>
      <c r="C183" s="61"/>
      <c r="H183" s="62"/>
    </row>
    <row r="184" ht="15.75" customHeight="1">
      <c r="A184" s="74"/>
      <c r="B184" s="61"/>
      <c r="C184" s="61"/>
      <c r="H184" s="62"/>
    </row>
    <row r="185" ht="15.75" customHeight="1">
      <c r="A185" s="74"/>
      <c r="B185" s="61"/>
      <c r="C185" s="61"/>
      <c r="H185" s="62"/>
    </row>
    <row r="186" ht="15.75" customHeight="1">
      <c r="A186" s="74"/>
      <c r="B186" s="61"/>
      <c r="C186" s="61"/>
      <c r="H186" s="62"/>
    </row>
    <row r="187" ht="15.75" customHeight="1">
      <c r="A187" s="74"/>
      <c r="B187" s="61"/>
      <c r="C187" s="61"/>
      <c r="H187" s="62"/>
    </row>
    <row r="188" ht="15.75" customHeight="1">
      <c r="A188" s="74"/>
      <c r="B188" s="61"/>
      <c r="C188" s="61"/>
      <c r="H188" s="62"/>
    </row>
    <row r="189" ht="15.75" customHeight="1">
      <c r="A189" s="74"/>
      <c r="B189" s="61"/>
      <c r="C189" s="61"/>
      <c r="H189" s="62"/>
    </row>
    <row r="190" ht="15.75" customHeight="1">
      <c r="A190" s="74"/>
      <c r="B190" s="61"/>
      <c r="C190" s="61"/>
      <c r="H190" s="62"/>
    </row>
    <row r="191" ht="15.75" customHeight="1">
      <c r="A191" s="74"/>
      <c r="B191" s="61"/>
      <c r="C191" s="61"/>
      <c r="H191" s="62"/>
    </row>
    <row r="192" ht="15.75" customHeight="1">
      <c r="A192" s="74"/>
      <c r="B192" s="61"/>
      <c r="C192" s="61"/>
      <c r="H192" s="62"/>
    </row>
    <row r="193" ht="15.75" customHeight="1">
      <c r="A193" s="74"/>
      <c r="B193" s="61"/>
      <c r="C193" s="61"/>
      <c r="H193" s="62"/>
    </row>
    <row r="194" ht="15.75" customHeight="1">
      <c r="A194" s="74"/>
      <c r="B194" s="61"/>
      <c r="C194" s="61"/>
      <c r="H194" s="62"/>
    </row>
    <row r="195" ht="15.75" customHeight="1">
      <c r="A195" s="74"/>
      <c r="B195" s="61"/>
      <c r="C195" s="61"/>
      <c r="H195" s="62"/>
    </row>
    <row r="196" ht="15.75" customHeight="1">
      <c r="A196" s="74"/>
      <c r="B196" s="61"/>
      <c r="C196" s="61"/>
      <c r="H196" s="62"/>
    </row>
    <row r="197" ht="15.75" customHeight="1">
      <c r="A197" s="74"/>
      <c r="B197" s="61"/>
      <c r="C197" s="61"/>
      <c r="H197" s="62"/>
    </row>
    <row r="198" ht="15.75" customHeight="1">
      <c r="A198" s="74"/>
      <c r="B198" s="61"/>
      <c r="C198" s="61"/>
      <c r="H198" s="62"/>
    </row>
    <row r="199" ht="15.75" customHeight="1">
      <c r="A199" s="74"/>
      <c r="B199" s="61"/>
      <c r="C199" s="61"/>
      <c r="H199" s="62"/>
    </row>
    <row r="200" ht="15.75" customHeight="1">
      <c r="A200" s="74"/>
      <c r="B200" s="61"/>
      <c r="C200" s="61"/>
      <c r="H200" s="62"/>
    </row>
    <row r="201" ht="15.75" customHeight="1">
      <c r="A201" s="74"/>
      <c r="B201" s="61"/>
      <c r="C201" s="61"/>
      <c r="H201" s="62"/>
    </row>
    <row r="202" ht="15.75" customHeight="1">
      <c r="A202" s="74"/>
      <c r="B202" s="61"/>
      <c r="C202" s="61"/>
      <c r="H202" s="62"/>
    </row>
    <row r="203" ht="15.75" customHeight="1">
      <c r="A203" s="74"/>
      <c r="B203" s="61"/>
      <c r="C203" s="61"/>
      <c r="H203" s="62"/>
    </row>
    <row r="204" ht="15.75" customHeight="1">
      <c r="A204" s="74"/>
      <c r="B204" s="61"/>
      <c r="C204" s="61"/>
      <c r="H204" s="62"/>
    </row>
    <row r="205" ht="15.75" customHeight="1">
      <c r="A205" s="74"/>
      <c r="B205" s="61"/>
      <c r="C205" s="61"/>
      <c r="H205" s="62"/>
    </row>
    <row r="206" ht="15.75" customHeight="1">
      <c r="A206" s="74"/>
      <c r="B206" s="61"/>
      <c r="C206" s="61"/>
      <c r="H206" s="62"/>
    </row>
    <row r="207" ht="15.75" customHeight="1">
      <c r="A207" s="74"/>
      <c r="B207" s="61"/>
      <c r="C207" s="61"/>
      <c r="H207" s="62"/>
    </row>
    <row r="208" ht="15.75" customHeight="1">
      <c r="A208" s="74"/>
      <c r="B208" s="61"/>
      <c r="C208" s="61"/>
      <c r="H208" s="62"/>
    </row>
    <row r="209" ht="15.75" customHeight="1">
      <c r="A209" s="74"/>
      <c r="B209" s="61"/>
      <c r="C209" s="61"/>
      <c r="H209" s="62"/>
    </row>
    <row r="210" ht="15.75" customHeight="1">
      <c r="A210" s="74"/>
      <c r="B210" s="61"/>
      <c r="C210" s="61"/>
      <c r="H210" s="62"/>
    </row>
    <row r="211" ht="15.75" customHeight="1">
      <c r="A211" s="74"/>
      <c r="B211" s="61"/>
      <c r="C211" s="61"/>
      <c r="H211" s="62"/>
    </row>
    <row r="212" ht="15.75" customHeight="1">
      <c r="A212" s="74"/>
      <c r="B212" s="61"/>
      <c r="C212" s="61"/>
      <c r="H212" s="62"/>
    </row>
    <row r="213" ht="15.75" customHeight="1">
      <c r="A213" s="74"/>
      <c r="B213" s="61"/>
      <c r="C213" s="61"/>
      <c r="H213" s="62"/>
    </row>
    <row r="214" ht="15.75" customHeight="1">
      <c r="A214" s="74"/>
      <c r="B214" s="61"/>
      <c r="C214" s="61"/>
      <c r="H214" s="62"/>
    </row>
    <row r="215" ht="15.75" customHeight="1">
      <c r="A215" s="74"/>
      <c r="B215" s="61"/>
      <c r="C215" s="61"/>
      <c r="H215" s="62"/>
    </row>
    <row r="216" ht="15.75" customHeight="1">
      <c r="A216" s="74"/>
      <c r="B216" s="61"/>
      <c r="C216" s="61"/>
      <c r="H216" s="62"/>
    </row>
    <row r="217" ht="15.75" customHeight="1">
      <c r="A217" s="74"/>
      <c r="B217" s="61"/>
      <c r="C217" s="61"/>
      <c r="H217" s="62"/>
    </row>
    <row r="218" ht="15.75" customHeight="1">
      <c r="A218" s="74"/>
      <c r="B218" s="61"/>
      <c r="C218" s="61"/>
      <c r="H218" s="62"/>
    </row>
    <row r="219" ht="15.75" customHeight="1">
      <c r="A219" s="74"/>
      <c r="B219" s="61"/>
      <c r="C219" s="61"/>
      <c r="H219" s="62"/>
    </row>
    <row r="220" ht="15.75" customHeight="1">
      <c r="A220" s="74"/>
      <c r="B220" s="61"/>
      <c r="C220" s="61"/>
      <c r="H220" s="62"/>
    </row>
    <row r="221" ht="15.75" customHeight="1">
      <c r="A221" s="74"/>
      <c r="B221" s="61"/>
      <c r="C221" s="61"/>
      <c r="H221" s="62"/>
    </row>
    <row r="222" ht="15.75" customHeight="1">
      <c r="A222" s="74"/>
      <c r="B222" s="61"/>
      <c r="C222" s="61"/>
      <c r="H222" s="62"/>
    </row>
    <row r="223" ht="15.75" customHeight="1">
      <c r="A223" s="74"/>
      <c r="B223" s="61"/>
      <c r="C223" s="61"/>
      <c r="H223" s="62"/>
    </row>
    <row r="224" ht="15.75" customHeight="1">
      <c r="A224" s="74"/>
      <c r="B224" s="61"/>
      <c r="C224" s="61"/>
      <c r="H224" s="62"/>
    </row>
    <row r="225" ht="15.75" customHeight="1">
      <c r="A225" s="74"/>
      <c r="B225" s="61"/>
      <c r="C225" s="61"/>
      <c r="H225" s="62"/>
    </row>
    <row r="226" ht="15.75" customHeight="1">
      <c r="A226" s="74"/>
      <c r="B226" s="61"/>
      <c r="C226" s="61"/>
      <c r="H226" s="62"/>
    </row>
    <row r="227" ht="15.75" customHeight="1">
      <c r="A227" s="74"/>
      <c r="B227" s="61"/>
      <c r="C227" s="61"/>
      <c r="H227" s="62"/>
    </row>
    <row r="228" ht="15.75" customHeight="1">
      <c r="A228" s="74"/>
      <c r="B228" s="61"/>
      <c r="C228" s="61"/>
      <c r="H228" s="62"/>
    </row>
    <row r="229" ht="15.75" customHeight="1">
      <c r="A229" s="74"/>
      <c r="B229" s="61"/>
      <c r="C229" s="61"/>
      <c r="H229" s="62"/>
    </row>
    <row r="230" ht="15.75" customHeight="1">
      <c r="A230" s="74"/>
      <c r="B230" s="61"/>
      <c r="C230" s="61"/>
      <c r="H230" s="62"/>
    </row>
    <row r="231" ht="15.75" customHeight="1">
      <c r="A231" s="74"/>
      <c r="B231" s="61"/>
      <c r="C231" s="61"/>
      <c r="H231" s="62"/>
    </row>
    <row r="232" ht="15.75" customHeight="1">
      <c r="A232" s="74"/>
      <c r="B232" s="61"/>
      <c r="C232" s="61"/>
      <c r="H232" s="62"/>
    </row>
    <row r="233" ht="15.75" customHeight="1">
      <c r="A233" s="74"/>
      <c r="B233" s="61"/>
      <c r="C233" s="61"/>
      <c r="H233" s="62"/>
    </row>
    <row r="234" ht="15.75" customHeight="1">
      <c r="A234" s="74"/>
      <c r="B234" s="61"/>
      <c r="C234" s="61"/>
      <c r="H234" s="62"/>
    </row>
    <row r="235" ht="15.75" customHeight="1">
      <c r="A235" s="74"/>
      <c r="B235" s="61"/>
      <c r="C235" s="61"/>
      <c r="H235" s="62"/>
    </row>
    <row r="236" ht="15.75" customHeight="1">
      <c r="A236" s="74"/>
      <c r="B236" s="61"/>
      <c r="C236" s="61"/>
      <c r="H236" s="62"/>
    </row>
    <row r="237" ht="15.75" customHeight="1">
      <c r="A237" s="74"/>
      <c r="B237" s="61"/>
      <c r="C237" s="61"/>
      <c r="H237" s="62"/>
    </row>
    <row r="238" ht="15.75" customHeight="1">
      <c r="A238" s="74"/>
      <c r="B238" s="61"/>
      <c r="C238" s="61"/>
      <c r="H238" s="62"/>
    </row>
    <row r="239" ht="15.75" customHeight="1">
      <c r="A239" s="74"/>
      <c r="B239" s="61"/>
      <c r="C239" s="61"/>
      <c r="H239" s="62"/>
    </row>
    <row r="240" ht="15.75" customHeight="1">
      <c r="A240" s="74"/>
      <c r="B240" s="61"/>
      <c r="C240" s="61"/>
      <c r="H240" s="62"/>
    </row>
    <row r="241" ht="15.75" customHeight="1">
      <c r="A241" s="74"/>
      <c r="B241" s="61"/>
      <c r="C241" s="61"/>
      <c r="H241" s="62"/>
    </row>
    <row r="242" ht="15.75" customHeight="1">
      <c r="A242" s="74"/>
      <c r="B242" s="61"/>
      <c r="C242" s="61"/>
      <c r="H242" s="62"/>
    </row>
    <row r="243" ht="15.75" customHeight="1">
      <c r="A243" s="74"/>
      <c r="B243" s="61"/>
      <c r="C243" s="61"/>
      <c r="H243" s="62"/>
    </row>
    <row r="244" ht="15.75" customHeight="1">
      <c r="A244" s="74"/>
      <c r="B244" s="61"/>
      <c r="C244" s="61"/>
      <c r="H244" s="62"/>
    </row>
    <row r="245" ht="15.75" customHeight="1">
      <c r="A245" s="74"/>
      <c r="B245" s="61"/>
      <c r="C245" s="61"/>
      <c r="H245" s="62"/>
    </row>
    <row r="246" ht="15.75" customHeight="1">
      <c r="A246" s="74"/>
      <c r="B246" s="61"/>
      <c r="C246" s="61"/>
      <c r="H246" s="62"/>
    </row>
    <row r="247" ht="15.75" customHeight="1">
      <c r="A247" s="74"/>
      <c r="B247" s="61"/>
      <c r="C247" s="61"/>
      <c r="H247" s="62"/>
    </row>
    <row r="248" ht="15.75" customHeight="1">
      <c r="A248" s="74"/>
      <c r="B248" s="61"/>
      <c r="C248" s="61"/>
      <c r="H248" s="62"/>
    </row>
    <row r="249" ht="15.75" customHeight="1">
      <c r="A249" s="74"/>
      <c r="B249" s="61"/>
      <c r="C249" s="61"/>
      <c r="H249" s="62"/>
    </row>
    <row r="250" ht="15.75" customHeight="1">
      <c r="A250" s="74"/>
      <c r="B250" s="61"/>
      <c r="C250" s="61"/>
      <c r="H250" s="62"/>
    </row>
    <row r="251" ht="15.75" customHeight="1">
      <c r="A251" s="74"/>
      <c r="B251" s="61"/>
      <c r="C251" s="61"/>
      <c r="H251" s="62"/>
    </row>
    <row r="252" ht="15.75" customHeight="1">
      <c r="A252" s="74"/>
      <c r="B252" s="61"/>
      <c r="C252" s="61"/>
      <c r="H252" s="62"/>
    </row>
    <row r="253" ht="15.75" customHeight="1">
      <c r="A253" s="74"/>
      <c r="B253" s="61"/>
      <c r="C253" s="61"/>
      <c r="H253" s="62"/>
    </row>
    <row r="254" ht="15.75" customHeight="1">
      <c r="A254" s="74"/>
      <c r="B254" s="61"/>
      <c r="C254" s="61"/>
      <c r="H254" s="62"/>
    </row>
    <row r="255" ht="15.75" customHeight="1">
      <c r="A255" s="74"/>
      <c r="B255" s="61"/>
      <c r="C255" s="61"/>
      <c r="H255" s="62"/>
    </row>
    <row r="256" ht="15.75" customHeight="1">
      <c r="A256" s="74"/>
      <c r="B256" s="61"/>
      <c r="C256" s="61"/>
      <c r="H256" s="62"/>
    </row>
    <row r="257" ht="15.75" customHeight="1">
      <c r="A257" s="74"/>
      <c r="B257" s="61"/>
      <c r="C257" s="61"/>
      <c r="H257" s="62"/>
    </row>
    <row r="258" ht="15.75" customHeight="1">
      <c r="A258" s="74"/>
      <c r="B258" s="61"/>
      <c r="C258" s="61"/>
      <c r="H258" s="62"/>
    </row>
    <row r="259" ht="15.75" customHeight="1">
      <c r="A259" s="74"/>
      <c r="B259" s="61"/>
      <c r="C259" s="61"/>
      <c r="H259" s="62"/>
    </row>
    <row r="260" ht="15.75" customHeight="1">
      <c r="A260" s="74"/>
      <c r="B260" s="61"/>
      <c r="C260" s="61"/>
      <c r="H260" s="62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6">
    <mergeCell ref="A2:A12"/>
    <mergeCell ref="B2:B5"/>
    <mergeCell ref="B6:B12"/>
    <mergeCell ref="A13:C13"/>
    <mergeCell ref="A14:A27"/>
    <mergeCell ref="B14:B22"/>
    <mergeCell ref="B23:B27"/>
    <mergeCell ref="A28:C28"/>
    <mergeCell ref="A29:A31"/>
    <mergeCell ref="B29:B30"/>
    <mergeCell ref="A32:C32"/>
    <mergeCell ref="A33:A37"/>
    <mergeCell ref="B33:B35"/>
    <mergeCell ref="B36:B37"/>
    <mergeCell ref="A38:C38"/>
    <mergeCell ref="A39:A44"/>
    <mergeCell ref="B39:B41"/>
    <mergeCell ref="B42:B44"/>
    <mergeCell ref="A45:C45"/>
    <mergeCell ref="A46:A53"/>
    <mergeCell ref="B46:B49"/>
    <mergeCell ref="B50:B53"/>
    <mergeCell ref="A54:C54"/>
    <mergeCell ref="A55:A59"/>
    <mergeCell ref="B56:B59"/>
    <mergeCell ref="A60:C6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00027-0045-4D51-AEAE-00D500DD003C}" type="list" allowBlank="1" errorStyle="stop" imeMode="noControl" operator="between" showDropDown="0" showErrorMessage="1" showInputMessage="0">
          <x14:formula1>
            <xm:f>"0,1,2"</xm:f>
          </x14:formula1>
          <xm:sqref>D29:H31 D33:H37 D39:H44 D46:H53 D14:H27 D55:H59 D2:G12</xm:sqref>
        </x14:dataValidation>
        <x14:dataValidation xr:uid="{00BB00D3-0050-4AF3-8AE3-00D000CC00C0}" type="list" allowBlank="1" errorStyle="stop" imeMode="noControl" operator="between" showDropDown="0" showErrorMessage="0" showInputMessage="0">
          <x14:formula1>
            <xm:f>"0,1,2"</xm:f>
          </x14:formula1>
          <xm:sqref>H2:H12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43" zoomScale="110" workbookViewId="0">
      <selection activeCell="C23" activeCellId="0" sqref="C23"/>
    </sheetView>
  </sheetViews>
  <sheetFormatPr defaultColWidth="12.6640625" defaultRowHeight="15" customHeight="1"/>
  <cols>
    <col customWidth="1" min="1" max="1" width="4.6640625"/>
    <col customWidth="1" min="2" max="2" width="3"/>
    <col customWidth="1" min="3" max="3" width="56.6640625"/>
    <col bestFit="1" customWidth="1" min="4" max="4" width="12.21875"/>
    <col customWidth="1" min="5" max="7" style="10" width="12.21875"/>
    <col customWidth="1" min="8" max="8" width="11.21875"/>
    <col customWidth="1" min="9" max="9" width="20.21875"/>
  </cols>
  <sheetData>
    <row r="1" ht="25.5">
      <c r="A1" s="109"/>
      <c r="B1" s="12"/>
      <c r="C1" s="12" t="s">
        <v>24</v>
      </c>
      <c r="D1" s="77" t="s">
        <v>25</v>
      </c>
      <c r="E1" s="13" t="s">
        <v>26</v>
      </c>
      <c r="F1" s="13" t="s">
        <v>27</v>
      </c>
      <c r="G1" s="13" t="s">
        <v>28</v>
      </c>
      <c r="H1" s="13" t="s">
        <v>77</v>
      </c>
      <c r="I1" s="77" t="s">
        <v>30</v>
      </c>
    </row>
    <row r="2" ht="25.5">
      <c r="A2" s="14" t="s">
        <v>31</v>
      </c>
      <c r="B2" s="110" t="s">
        <v>13</v>
      </c>
      <c r="C2" s="103" t="s">
        <v>108</v>
      </c>
      <c r="D2" s="95">
        <v>0</v>
      </c>
      <c r="E2" s="102">
        <v>0</v>
      </c>
      <c r="F2" s="102">
        <v>0</v>
      </c>
      <c r="G2" s="102">
        <v>0</v>
      </c>
      <c r="H2" s="17">
        <v>0</v>
      </c>
      <c r="I2" s="79"/>
    </row>
    <row r="3" ht="38.25">
      <c r="A3" s="82"/>
      <c r="B3" s="83"/>
      <c r="C3" s="21" t="s">
        <v>109</v>
      </c>
      <c r="D3" s="95">
        <v>0</v>
      </c>
      <c r="E3" s="95">
        <v>0</v>
      </c>
      <c r="F3" s="95">
        <v>0</v>
      </c>
      <c r="G3" s="95">
        <v>0</v>
      </c>
      <c r="H3" s="22">
        <v>0</v>
      </c>
      <c r="I3" s="84"/>
    </row>
    <row r="4" ht="51">
      <c r="A4" s="82"/>
      <c r="B4" s="83"/>
      <c r="C4" s="24" t="s">
        <v>110</v>
      </c>
      <c r="D4" s="95">
        <v>0</v>
      </c>
      <c r="E4" s="95">
        <v>0</v>
      </c>
      <c r="F4" s="95">
        <v>0</v>
      </c>
      <c r="G4" s="95">
        <v>0</v>
      </c>
      <c r="H4" s="22">
        <v>0</v>
      </c>
      <c r="I4" s="84"/>
    </row>
    <row r="5" ht="38.25">
      <c r="A5" s="82"/>
      <c r="B5" s="83"/>
      <c r="C5" s="21" t="s">
        <v>111</v>
      </c>
      <c r="D5" s="95">
        <v>0</v>
      </c>
      <c r="E5" s="95">
        <v>0</v>
      </c>
      <c r="F5" s="95">
        <v>0</v>
      </c>
      <c r="G5" s="95">
        <v>0</v>
      </c>
      <c r="H5" s="22">
        <v>0</v>
      </c>
      <c r="I5" s="84"/>
    </row>
    <row r="6" ht="38.25">
      <c r="A6" s="82"/>
      <c r="B6" s="83"/>
      <c r="C6" s="21" t="s">
        <v>112</v>
      </c>
      <c r="D6" s="95">
        <v>0</v>
      </c>
      <c r="E6" s="95">
        <v>0</v>
      </c>
      <c r="F6" s="95">
        <v>0</v>
      </c>
      <c r="G6" s="95">
        <v>0</v>
      </c>
      <c r="H6" s="22">
        <v>0</v>
      </c>
      <c r="I6" s="84"/>
    </row>
    <row r="7" ht="13.199999999999999">
      <c r="A7" s="82"/>
      <c r="B7" s="83"/>
      <c r="C7" s="21" t="s">
        <v>113</v>
      </c>
      <c r="D7" s="95">
        <v>0</v>
      </c>
      <c r="E7" s="95">
        <v>0</v>
      </c>
      <c r="F7" s="95">
        <v>0</v>
      </c>
      <c r="G7" s="95">
        <v>0</v>
      </c>
      <c r="H7" s="22">
        <v>0</v>
      </c>
      <c r="I7" s="84"/>
    </row>
    <row r="8" ht="38.25">
      <c r="A8" s="82"/>
      <c r="B8" s="85"/>
      <c r="C8" s="104" t="s">
        <v>114</v>
      </c>
      <c r="D8" s="94">
        <v>0</v>
      </c>
      <c r="E8" s="94">
        <v>0</v>
      </c>
      <c r="F8" s="94">
        <v>0</v>
      </c>
      <c r="G8" s="94">
        <v>0</v>
      </c>
      <c r="H8" s="27">
        <v>0</v>
      </c>
      <c r="I8" s="86"/>
    </row>
    <row r="9" ht="25.5">
      <c r="A9" s="82"/>
      <c r="B9" s="110" t="s">
        <v>15</v>
      </c>
      <c r="C9" s="103" t="s">
        <v>135</v>
      </c>
      <c r="D9" s="91">
        <v>0</v>
      </c>
      <c r="E9" s="91">
        <v>0</v>
      </c>
      <c r="F9" s="91">
        <v>0</v>
      </c>
      <c r="G9" s="91">
        <v>0</v>
      </c>
      <c r="H9" s="17">
        <v>0</v>
      </c>
      <c r="I9" s="79"/>
    </row>
    <row r="10" ht="38.25">
      <c r="A10" s="82"/>
      <c r="B10" s="83"/>
      <c r="C10" s="21" t="s">
        <v>136</v>
      </c>
      <c r="D10" s="95">
        <v>0</v>
      </c>
      <c r="E10" s="95">
        <v>0</v>
      </c>
      <c r="F10" s="95">
        <v>0</v>
      </c>
      <c r="G10" s="95">
        <v>0</v>
      </c>
      <c r="H10" s="22">
        <v>0</v>
      </c>
      <c r="I10" s="84"/>
    </row>
    <row r="11" ht="25.5">
      <c r="A11" s="87"/>
      <c r="B11" s="85"/>
      <c r="C11" s="26" t="s">
        <v>137</v>
      </c>
      <c r="D11" s="94">
        <v>0</v>
      </c>
      <c r="E11" s="94">
        <v>0</v>
      </c>
      <c r="F11" s="94">
        <v>0</v>
      </c>
      <c r="G11" s="94">
        <v>0</v>
      </c>
      <c r="H11" s="27">
        <v>0</v>
      </c>
      <c r="I11" s="86"/>
    </row>
    <row r="12" ht="15.75" customHeight="1">
      <c r="A12" s="34" t="s">
        <v>41</v>
      </c>
      <c r="B12" s="10"/>
      <c r="C12" s="88"/>
      <c r="D12" s="89">
        <f>AVERAGE(D2:D11)</f>
        <v>0</v>
      </c>
      <c r="E12" s="89">
        <f t="shared" ref="E12:G12" si="22">AVERAGE(E2:E11)</f>
        <v>0</v>
      </c>
      <c r="F12" s="89">
        <f t="shared" si="22"/>
        <v>0</v>
      </c>
      <c r="G12" s="89">
        <f t="shared" si="22"/>
        <v>0</v>
      </c>
      <c r="H12" s="89">
        <f>AVERAGE(H2:H11)</f>
        <v>0</v>
      </c>
      <c r="I12" s="90"/>
    </row>
    <row r="13" ht="25.5">
      <c r="A13" s="38" t="s">
        <v>42</v>
      </c>
      <c r="B13" s="110" t="s">
        <v>13</v>
      </c>
      <c r="C13" s="16" t="s">
        <v>115</v>
      </c>
      <c r="D13" s="91">
        <v>0</v>
      </c>
      <c r="E13" s="91">
        <v>0</v>
      </c>
      <c r="F13" s="91">
        <v>0</v>
      </c>
      <c r="G13" s="91">
        <v>0</v>
      </c>
      <c r="H13" s="17">
        <v>0</v>
      </c>
      <c r="I13" s="79"/>
    </row>
    <row r="14" ht="25.5">
      <c r="A14" s="82"/>
      <c r="B14" s="83"/>
      <c r="C14" s="24" t="s">
        <v>116</v>
      </c>
      <c r="D14" s="95">
        <v>0</v>
      </c>
      <c r="E14" s="95">
        <v>0</v>
      </c>
      <c r="F14" s="95">
        <v>0</v>
      </c>
      <c r="G14" s="95">
        <v>0</v>
      </c>
      <c r="H14" s="22">
        <v>0</v>
      </c>
      <c r="I14" s="84"/>
      <c r="K14" s="43" t="s">
        <v>24</v>
      </c>
      <c r="L14" s="44" t="s">
        <v>48</v>
      </c>
      <c r="M14" s="43" t="s">
        <v>49</v>
      </c>
      <c r="N14" s="43" t="s">
        <v>13</v>
      </c>
      <c r="O14" s="43" t="s">
        <v>15</v>
      </c>
    </row>
    <row r="15" ht="25.5">
      <c r="A15" s="82"/>
      <c r="B15" s="83"/>
      <c r="C15" s="24" t="s">
        <v>117</v>
      </c>
      <c r="D15" s="95">
        <v>0</v>
      </c>
      <c r="E15" s="95">
        <v>0</v>
      </c>
      <c r="F15" s="95">
        <v>0</v>
      </c>
      <c r="G15" s="95">
        <v>0</v>
      </c>
      <c r="H15" s="22">
        <v>0</v>
      </c>
      <c r="I15" s="84"/>
      <c r="K15" s="46" t="s">
        <v>31</v>
      </c>
      <c r="L15" s="47">
        <f>D12</f>
        <v>0</v>
      </c>
      <c r="M15" s="48">
        <f t="shared" ref="M15:M21" si="23">N15+(2-N15)*0.7</f>
        <v>1.8199999999999998</v>
      </c>
      <c r="N15" s="48">
        <f>2*7/10</f>
        <v>1.3999999999999999</v>
      </c>
      <c r="O15" s="49">
        <v>2</v>
      </c>
    </row>
    <row r="16" ht="51">
      <c r="A16" s="82"/>
      <c r="B16" s="83"/>
      <c r="C16" s="24" t="s">
        <v>118</v>
      </c>
      <c r="D16" s="95">
        <v>0</v>
      </c>
      <c r="E16" s="95">
        <v>0</v>
      </c>
      <c r="F16" s="95">
        <v>0</v>
      </c>
      <c r="G16" s="95">
        <v>0</v>
      </c>
      <c r="H16" s="22">
        <v>0</v>
      </c>
      <c r="I16" s="84"/>
      <c r="K16" s="50" t="s">
        <v>42</v>
      </c>
      <c r="L16" s="47">
        <f>D24</f>
        <v>0</v>
      </c>
      <c r="M16" s="48">
        <f t="shared" si="23"/>
        <v>1.7</v>
      </c>
      <c r="N16" s="48">
        <f>2*5/10</f>
        <v>1</v>
      </c>
      <c r="O16" s="49">
        <v>2</v>
      </c>
    </row>
    <row r="17" ht="25.5">
      <c r="A17" s="82"/>
      <c r="B17" s="85"/>
      <c r="C17" s="26" t="s">
        <v>119</v>
      </c>
      <c r="D17" s="95">
        <v>0</v>
      </c>
      <c r="E17" s="111">
        <v>0</v>
      </c>
      <c r="F17" s="111">
        <v>0</v>
      </c>
      <c r="G17" s="111">
        <v>0</v>
      </c>
      <c r="H17" s="27">
        <v>0</v>
      </c>
      <c r="I17" s="86"/>
      <c r="K17" s="43" t="s">
        <v>54</v>
      </c>
      <c r="L17" s="47">
        <f>D28</f>
        <v>0</v>
      </c>
      <c r="M17" s="48">
        <f t="shared" si="23"/>
        <v>1.6000000000000001</v>
      </c>
      <c r="N17" s="48">
        <f>2*1/3</f>
        <v>0.66666666666666663</v>
      </c>
      <c r="O17" s="49">
        <v>2</v>
      </c>
    </row>
    <row r="18" ht="25.5">
      <c r="A18" s="82"/>
      <c r="B18" s="110" t="s">
        <v>15</v>
      </c>
      <c r="C18" s="16" t="s">
        <v>138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79"/>
      <c r="K18" s="55" t="s">
        <v>56</v>
      </c>
      <c r="L18" s="47">
        <f>D33</f>
        <v>0</v>
      </c>
      <c r="M18" s="48">
        <f t="shared" si="23"/>
        <v>1.7</v>
      </c>
      <c r="N18" s="48">
        <f>2*2/4</f>
        <v>1</v>
      </c>
      <c r="O18" s="49">
        <v>2</v>
      </c>
    </row>
    <row r="19" ht="25.5">
      <c r="A19" s="82"/>
      <c r="B19" s="83"/>
      <c r="C19" s="24" t="s">
        <v>139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84"/>
      <c r="K19" s="56" t="s">
        <v>57</v>
      </c>
      <c r="L19" s="47">
        <f>D40</f>
        <v>0</v>
      </c>
      <c r="M19" s="48">
        <f t="shared" si="23"/>
        <v>1.7</v>
      </c>
      <c r="N19" s="48">
        <f>2*3/6</f>
        <v>1</v>
      </c>
      <c r="O19" s="49">
        <v>2</v>
      </c>
    </row>
    <row r="20" ht="25.5">
      <c r="A20" s="82"/>
      <c r="B20" s="83"/>
      <c r="C20" s="24" t="s">
        <v>140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84"/>
      <c r="K20" s="58" t="s">
        <v>59</v>
      </c>
      <c r="L20" s="47">
        <f>D47</f>
        <v>0</v>
      </c>
      <c r="M20" s="48">
        <f t="shared" si="23"/>
        <v>1.8285714285714285</v>
      </c>
      <c r="N20" s="48">
        <f>2*5/7</f>
        <v>1.4285714285714286</v>
      </c>
      <c r="O20" s="49">
        <v>2</v>
      </c>
    </row>
    <row r="21" ht="38.25">
      <c r="A21" s="82"/>
      <c r="B21" s="83"/>
      <c r="C21" s="24" t="s">
        <v>141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84"/>
      <c r="K21" s="59" t="s">
        <v>61</v>
      </c>
      <c r="L21" s="47">
        <f>D55</f>
        <v>0</v>
      </c>
      <c r="M21" s="48">
        <f t="shared" si="23"/>
        <v>1.7749999999999999</v>
      </c>
      <c r="N21" s="48">
        <f>2*5/8</f>
        <v>1.25</v>
      </c>
      <c r="O21" s="49">
        <v>2</v>
      </c>
    </row>
    <row r="22" ht="25.5">
      <c r="A22" s="82"/>
      <c r="B22" s="83"/>
      <c r="C22" s="24" t="s">
        <v>142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84"/>
    </row>
    <row r="23" ht="38.25">
      <c r="A23" s="87"/>
      <c r="B23" s="85"/>
      <c r="C23" s="9" t="s">
        <v>143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86"/>
    </row>
    <row r="24" ht="15.75" customHeight="1">
      <c r="A24" s="34" t="s">
        <v>41</v>
      </c>
      <c r="B24" s="10"/>
      <c r="C24" s="88"/>
      <c r="D24" s="36">
        <f t="shared" ref="D24:H24" si="24">AVERAGE(D13:D23)</f>
        <v>0</v>
      </c>
      <c r="E24" s="36">
        <f t="shared" si="24"/>
        <v>0</v>
      </c>
      <c r="F24" s="36">
        <f t="shared" si="24"/>
        <v>0</v>
      </c>
      <c r="G24" s="36">
        <f t="shared" si="24"/>
        <v>0</v>
      </c>
      <c r="H24" s="36">
        <f t="shared" si="24"/>
        <v>0</v>
      </c>
      <c r="I24" s="90"/>
    </row>
    <row r="25" ht="38.25">
      <c r="A25" s="45" t="s">
        <v>50</v>
      </c>
      <c r="B25" s="112" t="s">
        <v>13</v>
      </c>
      <c r="C25" s="26" t="s">
        <v>120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97"/>
    </row>
    <row r="26" ht="38.25">
      <c r="A26" s="82"/>
      <c r="B26" s="110" t="s">
        <v>15</v>
      </c>
      <c r="C26" s="16" t="s">
        <v>144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79"/>
    </row>
    <row r="27" ht="25.5">
      <c r="A27" s="87"/>
      <c r="B27" s="85"/>
      <c r="C27" s="26" t="s">
        <v>145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86"/>
    </row>
    <row r="28" ht="15.75" customHeight="1">
      <c r="A28" s="34" t="s">
        <v>41</v>
      </c>
      <c r="B28" s="10"/>
      <c r="C28" s="88"/>
      <c r="D28" s="36">
        <f t="shared" ref="D28:H28" si="25">AVERAGE(D25:D27)</f>
        <v>0</v>
      </c>
      <c r="E28" s="36">
        <f t="shared" si="25"/>
        <v>0</v>
      </c>
      <c r="F28" s="36">
        <f t="shared" si="25"/>
        <v>0</v>
      </c>
      <c r="G28" s="36">
        <f t="shared" si="25"/>
        <v>0</v>
      </c>
      <c r="H28" s="36">
        <f t="shared" si="25"/>
        <v>0</v>
      </c>
      <c r="I28" s="90"/>
    </row>
    <row r="29" ht="25.5">
      <c r="A29" s="57" t="s">
        <v>56</v>
      </c>
      <c r="B29" s="110" t="s">
        <v>13</v>
      </c>
      <c r="C29" s="78" t="s">
        <v>121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79"/>
    </row>
    <row r="30" ht="25.5">
      <c r="A30" s="82"/>
      <c r="B30" s="85"/>
      <c r="C30" s="78" t="s">
        <v>146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86"/>
    </row>
    <row r="31" ht="25.5">
      <c r="A31" s="82"/>
      <c r="B31" s="110" t="s">
        <v>15</v>
      </c>
      <c r="C31" s="113" t="s">
        <v>147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79"/>
    </row>
    <row r="32" ht="38.25" customHeight="1">
      <c r="A32" s="87"/>
      <c r="B32" s="85"/>
      <c r="C32" s="26" t="s">
        <v>148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86"/>
    </row>
    <row r="33" ht="15.75" customHeight="1">
      <c r="A33" s="34" t="s">
        <v>41</v>
      </c>
      <c r="B33" s="10"/>
      <c r="C33" s="88"/>
      <c r="D33" s="36">
        <f t="shared" ref="D33:H33" si="26">AVERAGE(D29:D32)</f>
        <v>0</v>
      </c>
      <c r="E33" s="36">
        <f t="shared" si="26"/>
        <v>0</v>
      </c>
      <c r="F33" s="36">
        <f t="shared" si="26"/>
        <v>0</v>
      </c>
      <c r="G33" s="36">
        <f t="shared" si="26"/>
        <v>0</v>
      </c>
      <c r="H33" s="36">
        <f t="shared" si="26"/>
        <v>0</v>
      </c>
      <c r="I33" s="90"/>
    </row>
    <row r="34" ht="25.5">
      <c r="A34" s="60" t="s">
        <v>57</v>
      </c>
      <c r="B34" s="110" t="s">
        <v>13</v>
      </c>
      <c r="C34" s="16" t="s">
        <v>123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79"/>
    </row>
    <row r="35" ht="25.5">
      <c r="A35" s="82"/>
      <c r="B35" s="83"/>
      <c r="C35" s="24" t="s">
        <v>124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84"/>
    </row>
    <row r="36" ht="25.5">
      <c r="A36" s="82"/>
      <c r="B36" s="85"/>
      <c r="C36" s="26" t="s">
        <v>125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86"/>
    </row>
    <row r="37" ht="25.5">
      <c r="A37" s="82"/>
      <c r="B37" s="110" t="s">
        <v>15</v>
      </c>
      <c r="C37" s="16" t="s">
        <v>149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79"/>
    </row>
    <row r="38" ht="25.5">
      <c r="A38" s="82"/>
      <c r="B38" s="83"/>
      <c r="C38" s="21" t="s">
        <v>150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84"/>
    </row>
    <row r="39" ht="25.5">
      <c r="A39" s="87"/>
      <c r="B39" s="85"/>
      <c r="C39" s="26" t="s">
        <v>151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86"/>
    </row>
    <row r="40" ht="15.75" customHeight="1">
      <c r="A40" s="34" t="s">
        <v>41</v>
      </c>
      <c r="B40" s="10"/>
      <c r="C40" s="88"/>
      <c r="D40" s="36">
        <f t="shared" ref="D40:H47" si="27">AVERAGE(D34:D39)</f>
        <v>0</v>
      </c>
      <c r="E40" s="36">
        <f t="shared" si="27"/>
        <v>0</v>
      </c>
      <c r="F40" s="36">
        <f t="shared" si="27"/>
        <v>0</v>
      </c>
      <c r="G40" s="36">
        <f t="shared" si="27"/>
        <v>0</v>
      </c>
      <c r="H40" s="36">
        <f t="shared" si="27"/>
        <v>0</v>
      </c>
      <c r="I40" s="90"/>
    </row>
    <row r="41" ht="44.25" customHeight="1">
      <c r="A41" s="65" t="s">
        <v>59</v>
      </c>
      <c r="B41" s="110" t="s">
        <v>13</v>
      </c>
      <c r="C41" s="16" t="s">
        <v>127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79"/>
    </row>
    <row r="42" ht="38.25">
      <c r="A42" s="82"/>
      <c r="B42" s="83"/>
      <c r="C42" s="24" t="s">
        <v>128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84"/>
    </row>
    <row r="43" ht="38.25">
      <c r="A43" s="82"/>
      <c r="B43" s="83"/>
      <c r="C43" s="24" t="s">
        <v>129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84"/>
    </row>
    <row r="44" ht="25.5">
      <c r="A44" s="82"/>
      <c r="B44" s="83"/>
      <c r="C44" s="24" t="s">
        <v>152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84"/>
    </row>
    <row r="45" ht="25.5">
      <c r="A45" s="82"/>
      <c r="B45" s="110" t="s">
        <v>15</v>
      </c>
      <c r="C45" s="16" t="s">
        <v>153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79"/>
    </row>
    <row r="46" ht="38.25">
      <c r="A46" s="87"/>
      <c r="B46" s="85"/>
      <c r="C46" s="26" t="s">
        <v>154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86"/>
    </row>
    <row r="47" ht="17.25" customHeight="1">
      <c r="A47" s="34" t="s">
        <v>41</v>
      </c>
      <c r="B47" s="10"/>
      <c r="C47" s="88"/>
      <c r="D47" s="89">
        <f t="shared" si="27"/>
        <v>0</v>
      </c>
      <c r="E47" s="89">
        <f t="shared" ref="E47:G47" si="28">AVERAGE(E41:E46)</f>
        <v>0</v>
      </c>
      <c r="F47" s="89">
        <f t="shared" si="28"/>
        <v>0</v>
      </c>
      <c r="G47" s="89">
        <f t="shared" si="28"/>
        <v>0</v>
      </c>
      <c r="H47" s="89">
        <f>AVERAGE(H41:H46)</f>
        <v>0</v>
      </c>
      <c r="I47" s="90"/>
    </row>
    <row r="48" ht="13.199999999999999">
      <c r="A48" s="67" t="s">
        <v>70</v>
      </c>
      <c r="B48" s="110" t="s">
        <v>13</v>
      </c>
      <c r="C48" s="16" t="s">
        <v>131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79"/>
    </row>
    <row r="49" ht="25.5">
      <c r="A49" s="82"/>
      <c r="B49" s="83"/>
      <c r="C49" s="24" t="s">
        <v>132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84"/>
    </row>
    <row r="50" ht="34.5" customHeight="1">
      <c r="A50" s="82"/>
      <c r="B50" s="83"/>
      <c r="C50" s="24" t="s">
        <v>155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84"/>
    </row>
    <row r="51" ht="25.5">
      <c r="A51" s="82"/>
      <c r="B51" s="83"/>
      <c r="C51" s="24" t="s">
        <v>133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84"/>
    </row>
    <row r="52" ht="13.199999999999999">
      <c r="A52" s="82"/>
      <c r="B52" s="85"/>
      <c r="C52" s="26" t="s">
        <v>156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86"/>
    </row>
    <row r="53" ht="25.5">
      <c r="A53" s="82"/>
      <c r="B53" s="110" t="s">
        <v>15</v>
      </c>
      <c r="C53" s="16" t="s">
        <v>157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79"/>
    </row>
    <row r="54" ht="25.5">
      <c r="A54" s="82"/>
      <c r="B54" s="83"/>
      <c r="C54" s="21" t="s">
        <v>158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84"/>
    </row>
    <row r="55" ht="15.75" customHeight="1">
      <c r="A55" s="69" t="s">
        <v>41</v>
      </c>
      <c r="B55" s="98"/>
      <c r="C55" s="99"/>
      <c r="D55" s="100">
        <f>AVERAGE(D48:D54)</f>
        <v>0</v>
      </c>
      <c r="E55" s="100">
        <f t="shared" ref="E55:G55" si="29">AVERAGE(E48:E54)</f>
        <v>0</v>
      </c>
      <c r="F55" s="100">
        <f t="shared" si="29"/>
        <v>0</v>
      </c>
      <c r="G55" s="100">
        <f t="shared" si="29"/>
        <v>0</v>
      </c>
      <c r="H55" s="100">
        <f>AVERAGE(H48:H54)</f>
        <v>0</v>
      </c>
      <c r="I55" s="101"/>
    </row>
    <row r="56" ht="15.75" customHeight="1">
      <c r="A56" s="62"/>
      <c r="B56" s="61"/>
      <c r="C56" s="61"/>
      <c r="D56" s="75"/>
      <c r="E56" s="75"/>
      <c r="F56" s="75"/>
      <c r="G56" s="75"/>
      <c r="H56" s="62"/>
    </row>
    <row r="57" ht="15.75" customHeight="1">
      <c r="A57" s="62"/>
    </row>
    <row r="58" ht="15.75" customHeight="1">
      <c r="A58" s="62"/>
    </row>
    <row r="59" ht="15.75" customHeight="1">
      <c r="A59" s="62"/>
    </row>
    <row r="60" ht="15.75" customHeight="1">
      <c r="A60" s="62"/>
    </row>
    <row r="61" ht="15.75" customHeight="1">
      <c r="A61" s="62"/>
    </row>
    <row r="62" ht="15.75" customHeight="1">
      <c r="A62" s="62"/>
    </row>
    <row r="63" ht="15.75" customHeight="1">
      <c r="A63" s="62"/>
    </row>
    <row r="64" ht="15.75" customHeight="1">
      <c r="A64" s="62"/>
    </row>
    <row r="65" ht="15.75" customHeight="1">
      <c r="A65" s="62"/>
      <c r="B65" s="61"/>
      <c r="C65" s="61"/>
      <c r="H65" s="62"/>
    </row>
    <row r="66" ht="15.75" customHeight="1">
      <c r="A66" s="62"/>
      <c r="B66" s="61"/>
      <c r="C66" s="61"/>
      <c r="H66" s="62"/>
    </row>
    <row r="67" ht="15.75" customHeight="1">
      <c r="A67" s="62"/>
      <c r="B67" s="61"/>
      <c r="C67" s="61"/>
      <c r="H67" s="62"/>
    </row>
    <row r="68" ht="15.75" customHeight="1">
      <c r="A68" s="62"/>
      <c r="B68" s="61"/>
      <c r="C68" s="61"/>
      <c r="H68" s="62"/>
    </row>
    <row r="69" ht="15.75" customHeight="1">
      <c r="A69" s="62"/>
      <c r="B69" s="61"/>
      <c r="C69" s="61"/>
      <c r="H69" s="62"/>
    </row>
    <row r="70" ht="15.75" customHeight="1">
      <c r="A70" s="62"/>
      <c r="B70" s="61"/>
      <c r="C70" s="61"/>
      <c r="H70" s="62"/>
    </row>
    <row r="71" ht="15.75" customHeight="1">
      <c r="A71" s="62"/>
      <c r="B71" s="61"/>
      <c r="C71" s="61"/>
      <c r="H71" s="62"/>
    </row>
    <row r="72" ht="15.75" customHeight="1">
      <c r="A72" s="62"/>
      <c r="B72" s="61"/>
      <c r="C72" s="61"/>
      <c r="H72" s="62"/>
    </row>
    <row r="73" ht="15.75" customHeight="1">
      <c r="A73" s="62"/>
      <c r="B73" s="61"/>
      <c r="C73" s="61"/>
      <c r="H73" s="62"/>
    </row>
    <row r="74" ht="15.75" customHeight="1">
      <c r="A74" s="62"/>
      <c r="B74" s="61"/>
      <c r="C74" s="61"/>
      <c r="H74" s="62"/>
    </row>
    <row r="75" ht="15.75" customHeight="1">
      <c r="A75" s="62"/>
      <c r="B75" s="61"/>
      <c r="C75" s="61"/>
      <c r="H75" s="62"/>
    </row>
    <row r="76" ht="15.75" customHeight="1">
      <c r="A76" s="62"/>
      <c r="B76" s="61"/>
      <c r="C76" s="61"/>
      <c r="H76" s="62"/>
    </row>
    <row r="77" ht="15.75" customHeight="1">
      <c r="A77" s="62"/>
      <c r="B77" s="61"/>
      <c r="C77" s="61"/>
      <c r="H77" s="62"/>
    </row>
    <row r="78" ht="15.75" customHeight="1">
      <c r="A78" s="62"/>
      <c r="B78" s="61"/>
      <c r="C78" s="61"/>
      <c r="H78" s="62"/>
    </row>
    <row r="79" ht="15.75" customHeight="1">
      <c r="A79" s="62"/>
      <c r="B79" s="61"/>
      <c r="C79" s="61"/>
      <c r="H79" s="62"/>
    </row>
    <row r="80" ht="15.75" customHeight="1">
      <c r="A80" s="62"/>
      <c r="B80" s="61"/>
      <c r="C80" s="61"/>
      <c r="H80" s="62"/>
    </row>
    <row r="81" ht="15.75" customHeight="1">
      <c r="A81" s="62"/>
      <c r="B81" s="61"/>
      <c r="C81" s="61"/>
      <c r="H81" s="62"/>
    </row>
    <row r="82" ht="15.75" customHeight="1">
      <c r="A82" s="62"/>
      <c r="B82" s="61"/>
      <c r="C82" s="61"/>
      <c r="H82" s="62"/>
    </row>
    <row r="83" ht="15.75" customHeight="1">
      <c r="A83" s="62"/>
      <c r="B83" s="61"/>
      <c r="C83" s="61"/>
      <c r="H83" s="62"/>
    </row>
    <row r="84" ht="15.75" customHeight="1">
      <c r="A84" s="62"/>
      <c r="B84" s="61"/>
      <c r="C84" s="61"/>
      <c r="H84" s="62"/>
    </row>
    <row r="85" ht="15.75" customHeight="1">
      <c r="A85" s="62"/>
      <c r="B85" s="61"/>
      <c r="C85" s="61"/>
      <c r="H85" s="62"/>
    </row>
    <row r="86" ht="15.75" customHeight="1">
      <c r="A86" s="62"/>
      <c r="B86" s="61"/>
      <c r="C86" s="61"/>
      <c r="H86" s="62"/>
    </row>
    <row r="87" ht="15.75" customHeight="1">
      <c r="A87" s="62"/>
      <c r="B87" s="61"/>
      <c r="C87" s="61"/>
      <c r="H87" s="62"/>
    </row>
    <row r="88" ht="15.75" customHeight="1">
      <c r="A88" s="62"/>
      <c r="B88" s="61"/>
      <c r="C88" s="61"/>
      <c r="H88" s="62"/>
    </row>
    <row r="89" ht="15.75" customHeight="1">
      <c r="A89" s="62"/>
      <c r="B89" s="61"/>
      <c r="C89" s="61"/>
      <c r="H89" s="62"/>
    </row>
    <row r="90" ht="15.75" customHeight="1">
      <c r="A90" s="62"/>
      <c r="B90" s="61"/>
      <c r="C90" s="61"/>
      <c r="H90" s="62"/>
    </row>
    <row r="91" ht="15.75" customHeight="1">
      <c r="A91" s="62"/>
      <c r="B91" s="61"/>
      <c r="C91" s="61"/>
      <c r="H91" s="62"/>
    </row>
    <row r="92" ht="15.75" customHeight="1">
      <c r="A92" s="62"/>
      <c r="B92" s="61"/>
      <c r="C92" s="61"/>
      <c r="H92" s="62"/>
    </row>
    <row r="93" ht="15.75" customHeight="1">
      <c r="A93" s="62"/>
      <c r="B93" s="61"/>
      <c r="C93" s="61"/>
      <c r="H93" s="62"/>
    </row>
    <row r="94" ht="15.75" customHeight="1">
      <c r="A94" s="62"/>
      <c r="B94" s="61"/>
      <c r="C94" s="61"/>
      <c r="H94" s="62"/>
    </row>
    <row r="95" ht="15.75" customHeight="1">
      <c r="A95" s="62"/>
      <c r="B95" s="61"/>
      <c r="C95" s="61"/>
      <c r="H95" s="62"/>
    </row>
    <row r="96" ht="15.75" customHeight="1">
      <c r="A96" s="62"/>
      <c r="B96" s="61"/>
      <c r="C96" s="61"/>
      <c r="H96" s="62"/>
    </row>
    <row r="97" ht="15.75" customHeight="1">
      <c r="A97" s="62"/>
      <c r="B97" s="61"/>
      <c r="C97" s="61"/>
      <c r="H97" s="62"/>
    </row>
    <row r="98" ht="15.75" customHeight="1">
      <c r="A98" s="62"/>
      <c r="B98" s="61"/>
      <c r="C98" s="61"/>
      <c r="H98" s="62"/>
    </row>
    <row r="99" ht="15.75" customHeight="1">
      <c r="A99" s="62"/>
      <c r="B99" s="61"/>
      <c r="C99" s="61"/>
      <c r="H99" s="62"/>
    </row>
    <row r="100" ht="15.75" customHeight="1">
      <c r="A100" s="62"/>
      <c r="B100" s="61"/>
      <c r="C100" s="61"/>
      <c r="H100" s="62"/>
    </row>
    <row r="101" ht="15.75" customHeight="1">
      <c r="A101" s="62"/>
      <c r="B101" s="61"/>
      <c r="C101" s="61"/>
      <c r="H101" s="62"/>
    </row>
    <row r="102" ht="15.75" customHeight="1">
      <c r="A102" s="62"/>
      <c r="B102" s="61"/>
      <c r="C102" s="61"/>
      <c r="H102" s="62"/>
    </row>
    <row r="103" ht="15.75" customHeight="1">
      <c r="A103" s="62"/>
      <c r="B103" s="61"/>
      <c r="C103" s="61"/>
      <c r="H103" s="62"/>
    </row>
    <row r="104" ht="15.75" customHeight="1">
      <c r="A104" s="62"/>
      <c r="B104" s="61"/>
      <c r="C104" s="61"/>
      <c r="H104" s="62"/>
    </row>
    <row r="105" ht="15.75" customHeight="1">
      <c r="A105" s="62"/>
      <c r="B105" s="61"/>
      <c r="C105" s="61"/>
      <c r="H105" s="62"/>
    </row>
    <row r="106" ht="15.75" customHeight="1">
      <c r="A106" s="62"/>
      <c r="B106" s="61"/>
      <c r="C106" s="61"/>
      <c r="H106" s="62"/>
    </row>
    <row r="107" ht="15.75" customHeight="1">
      <c r="A107" s="62"/>
      <c r="B107" s="61"/>
      <c r="C107" s="61"/>
      <c r="H107" s="62"/>
    </row>
    <row r="108" ht="15.75" customHeight="1">
      <c r="A108" s="62"/>
      <c r="B108" s="61"/>
      <c r="C108" s="61"/>
      <c r="H108" s="62"/>
    </row>
    <row r="109" ht="15.75" customHeight="1">
      <c r="A109" s="62"/>
      <c r="B109" s="61"/>
      <c r="C109" s="61"/>
      <c r="H109" s="62"/>
    </row>
    <row r="110" ht="15.75" customHeight="1">
      <c r="A110" s="62"/>
      <c r="B110" s="61"/>
      <c r="C110" s="61"/>
      <c r="H110" s="62"/>
    </row>
    <row r="111" ht="15.75" customHeight="1">
      <c r="A111" s="62"/>
      <c r="B111" s="61"/>
      <c r="C111" s="61"/>
      <c r="H111" s="62"/>
    </row>
    <row r="112" ht="15.75" customHeight="1">
      <c r="A112" s="62"/>
      <c r="B112" s="61"/>
      <c r="C112" s="61"/>
      <c r="H112" s="62"/>
    </row>
    <row r="113" ht="15.75" customHeight="1">
      <c r="A113" s="62"/>
      <c r="B113" s="61"/>
      <c r="C113" s="61"/>
      <c r="H113" s="62"/>
    </row>
    <row r="114" ht="15.75" customHeight="1">
      <c r="A114" s="62"/>
      <c r="B114" s="61"/>
      <c r="C114" s="61"/>
      <c r="H114" s="62"/>
    </row>
    <row r="115" ht="15.75" customHeight="1">
      <c r="A115" s="62"/>
      <c r="B115" s="61"/>
      <c r="C115" s="61"/>
      <c r="H115" s="62"/>
    </row>
    <row r="116" ht="15.75" customHeight="1">
      <c r="A116" s="62"/>
      <c r="B116" s="61"/>
      <c r="C116" s="61"/>
      <c r="H116" s="62"/>
    </row>
    <row r="117" ht="15.75" customHeight="1">
      <c r="A117" s="62"/>
      <c r="B117" s="61"/>
      <c r="C117" s="61"/>
      <c r="H117" s="62"/>
    </row>
    <row r="118" ht="15.75" customHeight="1">
      <c r="A118" s="62"/>
      <c r="B118" s="61"/>
      <c r="C118" s="61"/>
      <c r="H118" s="62"/>
    </row>
    <row r="119" ht="15.75" customHeight="1">
      <c r="A119" s="62"/>
      <c r="B119" s="61"/>
      <c r="C119" s="61"/>
      <c r="H119" s="62"/>
    </row>
    <row r="120" ht="15.75" customHeight="1">
      <c r="A120" s="62"/>
      <c r="B120" s="61"/>
      <c r="C120" s="61"/>
      <c r="H120" s="62"/>
    </row>
    <row r="121" ht="15.75" customHeight="1">
      <c r="A121" s="62"/>
      <c r="B121" s="61"/>
      <c r="C121" s="61"/>
      <c r="H121" s="62"/>
    </row>
    <row r="122" ht="15.75" customHeight="1">
      <c r="A122" s="62"/>
      <c r="B122" s="61"/>
      <c r="C122" s="61"/>
      <c r="H122" s="62"/>
    </row>
    <row r="123" ht="15.75" customHeight="1">
      <c r="A123" s="62"/>
      <c r="B123" s="61"/>
      <c r="C123" s="61"/>
      <c r="H123" s="62"/>
    </row>
    <row r="124" ht="15.75" customHeight="1">
      <c r="A124" s="62"/>
      <c r="B124" s="61"/>
      <c r="C124" s="61"/>
      <c r="H124" s="62"/>
    </row>
    <row r="125" ht="15.75" customHeight="1">
      <c r="A125" s="62"/>
      <c r="B125" s="61"/>
      <c r="C125" s="61"/>
      <c r="H125" s="62"/>
    </row>
    <row r="126" ht="15.75" customHeight="1">
      <c r="A126" s="62"/>
      <c r="B126" s="61"/>
      <c r="C126" s="61"/>
      <c r="H126" s="62"/>
    </row>
    <row r="127" ht="15.75" customHeight="1">
      <c r="A127" s="62"/>
      <c r="B127" s="61"/>
      <c r="C127" s="61"/>
      <c r="H127" s="62"/>
    </row>
    <row r="128" ht="15.75" customHeight="1">
      <c r="A128" s="62"/>
      <c r="B128" s="61"/>
      <c r="C128" s="61"/>
      <c r="H128" s="62"/>
    </row>
    <row r="129" ht="15.75" customHeight="1">
      <c r="A129" s="62"/>
      <c r="B129" s="61"/>
      <c r="C129" s="61"/>
      <c r="H129" s="62"/>
    </row>
    <row r="130" ht="15.75" customHeight="1">
      <c r="A130" s="62"/>
      <c r="B130" s="61"/>
      <c r="C130" s="61"/>
      <c r="H130" s="62"/>
    </row>
    <row r="131" ht="15.75" customHeight="1">
      <c r="A131" s="62"/>
      <c r="B131" s="61"/>
      <c r="C131" s="61"/>
      <c r="H131" s="62"/>
    </row>
    <row r="132" ht="15.75" customHeight="1">
      <c r="A132" s="62"/>
      <c r="B132" s="61"/>
      <c r="C132" s="61"/>
      <c r="H132" s="62"/>
    </row>
    <row r="133" ht="15.75" customHeight="1">
      <c r="A133" s="62"/>
      <c r="B133" s="61"/>
      <c r="C133" s="61"/>
      <c r="H133" s="62"/>
    </row>
    <row r="134" ht="15.75" customHeight="1">
      <c r="A134" s="62"/>
      <c r="B134" s="61"/>
      <c r="C134" s="61"/>
      <c r="H134" s="62"/>
    </row>
    <row r="135" ht="15.75" customHeight="1">
      <c r="A135" s="62"/>
      <c r="B135" s="61"/>
      <c r="C135" s="61"/>
      <c r="H135" s="62"/>
    </row>
    <row r="136" ht="15.75" customHeight="1">
      <c r="A136" s="62"/>
      <c r="B136" s="61"/>
      <c r="C136" s="61"/>
      <c r="H136" s="62"/>
    </row>
    <row r="137" ht="15.75" customHeight="1">
      <c r="A137" s="62"/>
      <c r="B137" s="61"/>
      <c r="C137" s="61"/>
      <c r="H137" s="62"/>
    </row>
    <row r="138" ht="15.75" customHeight="1">
      <c r="A138" s="62"/>
      <c r="B138" s="61"/>
      <c r="C138" s="61"/>
      <c r="H138" s="62"/>
    </row>
    <row r="139" ht="15.75" customHeight="1">
      <c r="A139" s="62"/>
      <c r="B139" s="61"/>
      <c r="C139" s="61"/>
      <c r="H139" s="62"/>
    </row>
    <row r="140" ht="15.75" customHeight="1">
      <c r="A140" s="62"/>
      <c r="B140" s="61"/>
      <c r="C140" s="61"/>
      <c r="H140" s="62"/>
    </row>
    <row r="141" ht="15.75" customHeight="1">
      <c r="A141" s="62"/>
      <c r="B141" s="61"/>
      <c r="C141" s="61"/>
      <c r="H141" s="62"/>
    </row>
    <row r="142" ht="15.75" customHeight="1">
      <c r="A142" s="62"/>
      <c r="B142" s="61"/>
      <c r="C142" s="61"/>
      <c r="H142" s="62"/>
    </row>
    <row r="143" ht="15.75" customHeight="1">
      <c r="A143" s="62"/>
      <c r="B143" s="61"/>
      <c r="C143" s="61"/>
      <c r="H143" s="62"/>
    </row>
    <row r="144" ht="15.75" customHeight="1">
      <c r="A144" s="62"/>
      <c r="B144" s="61"/>
      <c r="C144" s="61"/>
      <c r="H144" s="62"/>
    </row>
    <row r="145" ht="15.75" customHeight="1">
      <c r="A145" s="62"/>
      <c r="B145" s="61"/>
      <c r="C145" s="61"/>
      <c r="H145" s="62"/>
    </row>
    <row r="146" ht="15.75" customHeight="1">
      <c r="A146" s="62"/>
      <c r="B146" s="61"/>
      <c r="C146" s="61"/>
      <c r="H146" s="62"/>
    </row>
    <row r="147" ht="15.75" customHeight="1">
      <c r="A147" s="62"/>
      <c r="B147" s="61"/>
      <c r="C147" s="61"/>
      <c r="H147" s="62"/>
    </row>
    <row r="148" ht="15.75" customHeight="1">
      <c r="A148" s="62"/>
      <c r="B148" s="61"/>
      <c r="C148" s="61"/>
      <c r="H148" s="62"/>
    </row>
    <row r="149" ht="15.75" customHeight="1">
      <c r="A149" s="62"/>
      <c r="B149" s="61"/>
      <c r="C149" s="61"/>
      <c r="H149" s="62"/>
    </row>
    <row r="150" ht="15.75" customHeight="1">
      <c r="A150" s="62"/>
      <c r="B150" s="61"/>
      <c r="C150" s="61"/>
      <c r="H150" s="62"/>
    </row>
    <row r="151" ht="15.75" customHeight="1">
      <c r="A151" s="62"/>
      <c r="B151" s="61"/>
      <c r="C151" s="61"/>
      <c r="H151" s="62"/>
    </row>
    <row r="152" ht="15.75" customHeight="1">
      <c r="A152" s="62"/>
      <c r="B152" s="61"/>
      <c r="C152" s="61"/>
      <c r="H152" s="62"/>
    </row>
    <row r="153" ht="15.75" customHeight="1">
      <c r="A153" s="62"/>
      <c r="B153" s="61"/>
      <c r="C153" s="61"/>
      <c r="H153" s="62"/>
    </row>
    <row r="154" ht="15.75" customHeight="1">
      <c r="A154" s="62"/>
      <c r="B154" s="61"/>
      <c r="C154" s="61"/>
      <c r="H154" s="62"/>
    </row>
    <row r="155" ht="15.75" customHeight="1">
      <c r="A155" s="62"/>
      <c r="B155" s="61"/>
      <c r="C155" s="61"/>
      <c r="H155" s="62"/>
    </row>
    <row r="156" ht="15.75" customHeight="1">
      <c r="A156" s="62"/>
      <c r="B156" s="61"/>
      <c r="C156" s="61"/>
      <c r="H156" s="62"/>
    </row>
    <row r="157" ht="15.75" customHeight="1">
      <c r="A157" s="62"/>
      <c r="B157" s="61"/>
      <c r="C157" s="61"/>
      <c r="H157" s="62"/>
    </row>
    <row r="158" ht="15.75" customHeight="1">
      <c r="A158" s="62"/>
      <c r="B158" s="61"/>
      <c r="C158" s="61"/>
      <c r="H158" s="62"/>
    </row>
    <row r="159" ht="15.75" customHeight="1">
      <c r="A159" s="62"/>
      <c r="B159" s="61"/>
      <c r="C159" s="61"/>
      <c r="H159" s="62"/>
    </row>
    <row r="160" ht="15.75" customHeight="1">
      <c r="A160" s="62"/>
      <c r="B160" s="61"/>
      <c r="C160" s="61"/>
      <c r="H160" s="62"/>
    </row>
    <row r="161" ht="15.75" customHeight="1">
      <c r="A161" s="62"/>
      <c r="B161" s="61"/>
      <c r="C161" s="61"/>
      <c r="H161" s="62"/>
    </row>
    <row r="162" ht="15.75" customHeight="1">
      <c r="A162" s="62"/>
      <c r="B162" s="61"/>
      <c r="C162" s="61"/>
      <c r="H162" s="62"/>
    </row>
    <row r="163" ht="15.75" customHeight="1">
      <c r="A163" s="62"/>
      <c r="B163" s="61"/>
      <c r="C163" s="61"/>
      <c r="H163" s="62"/>
    </row>
    <row r="164" ht="15.75" customHeight="1">
      <c r="A164" s="62"/>
      <c r="B164" s="61"/>
      <c r="C164" s="61"/>
      <c r="H164" s="62"/>
    </row>
    <row r="165" ht="15.75" customHeight="1">
      <c r="A165" s="62"/>
      <c r="B165" s="61"/>
      <c r="C165" s="61"/>
      <c r="H165" s="62"/>
    </row>
    <row r="166" ht="15.75" customHeight="1">
      <c r="A166" s="62"/>
      <c r="B166" s="61"/>
      <c r="C166" s="61"/>
      <c r="H166" s="62"/>
    </row>
    <row r="167" ht="15.75" customHeight="1">
      <c r="A167" s="62"/>
      <c r="B167" s="61"/>
      <c r="C167" s="61"/>
      <c r="H167" s="62"/>
    </row>
    <row r="168" ht="15.75" customHeight="1">
      <c r="A168" s="62"/>
      <c r="B168" s="61"/>
      <c r="C168" s="61"/>
      <c r="H168" s="62"/>
    </row>
    <row r="169" ht="15.75" customHeight="1">
      <c r="A169" s="62"/>
      <c r="B169" s="61"/>
      <c r="C169" s="61"/>
      <c r="H169" s="62"/>
    </row>
    <row r="170" ht="15.75" customHeight="1">
      <c r="A170" s="62"/>
      <c r="B170" s="61"/>
      <c r="C170" s="61"/>
      <c r="H170" s="62"/>
    </row>
    <row r="171" ht="15.75" customHeight="1">
      <c r="A171" s="62"/>
      <c r="B171" s="61"/>
      <c r="C171" s="61"/>
      <c r="H171" s="62"/>
    </row>
    <row r="172" ht="15.75" customHeight="1">
      <c r="A172" s="62"/>
      <c r="B172" s="61"/>
      <c r="C172" s="61"/>
      <c r="H172" s="62"/>
    </row>
    <row r="173" ht="15.75" customHeight="1">
      <c r="A173" s="62"/>
      <c r="B173" s="61"/>
      <c r="C173" s="61"/>
      <c r="H173" s="62"/>
    </row>
    <row r="174" ht="15.75" customHeight="1">
      <c r="A174" s="62"/>
      <c r="B174" s="61"/>
      <c r="C174" s="61"/>
      <c r="H174" s="62"/>
    </row>
    <row r="175" ht="15.75" customHeight="1">
      <c r="A175" s="62"/>
      <c r="B175" s="61"/>
      <c r="C175" s="61"/>
      <c r="H175" s="62"/>
    </row>
    <row r="176" ht="15.75" customHeight="1">
      <c r="A176" s="62"/>
      <c r="B176" s="61"/>
      <c r="C176" s="61"/>
      <c r="H176" s="62"/>
    </row>
    <row r="177" ht="15.75" customHeight="1">
      <c r="A177" s="62"/>
      <c r="B177" s="61"/>
      <c r="C177" s="61"/>
      <c r="H177" s="62"/>
    </row>
    <row r="178" ht="15.75" customHeight="1">
      <c r="A178" s="62"/>
      <c r="B178" s="61"/>
      <c r="C178" s="61"/>
      <c r="H178" s="62"/>
    </row>
    <row r="179" ht="15.75" customHeight="1">
      <c r="A179" s="62"/>
      <c r="B179" s="61"/>
      <c r="C179" s="61"/>
      <c r="H179" s="62"/>
    </row>
    <row r="180" ht="15.75" customHeight="1">
      <c r="A180" s="62"/>
      <c r="B180" s="61"/>
      <c r="C180" s="61"/>
      <c r="H180" s="62"/>
    </row>
    <row r="181" ht="15.75" customHeight="1">
      <c r="A181" s="62"/>
      <c r="B181" s="61"/>
      <c r="C181" s="61"/>
      <c r="H181" s="62"/>
    </row>
    <row r="182" ht="15.75" customHeight="1">
      <c r="A182" s="62"/>
      <c r="B182" s="61"/>
      <c r="C182" s="61"/>
      <c r="H182" s="62"/>
    </row>
    <row r="183" ht="15.75" customHeight="1">
      <c r="A183" s="62"/>
      <c r="B183" s="61"/>
      <c r="C183" s="61"/>
      <c r="H183" s="62"/>
    </row>
    <row r="184" ht="15.75" customHeight="1">
      <c r="A184" s="62"/>
      <c r="B184" s="61"/>
      <c r="C184" s="61"/>
      <c r="H184" s="62"/>
    </row>
    <row r="185" ht="15.75" customHeight="1">
      <c r="A185" s="62"/>
      <c r="B185" s="61"/>
      <c r="C185" s="61"/>
      <c r="H185" s="62"/>
    </row>
    <row r="186" ht="15.75" customHeight="1">
      <c r="A186" s="62"/>
      <c r="B186" s="61"/>
      <c r="C186" s="61"/>
      <c r="H186" s="62"/>
    </row>
    <row r="187" ht="15.75" customHeight="1">
      <c r="A187" s="62"/>
      <c r="B187" s="61"/>
      <c r="C187" s="61"/>
      <c r="H187" s="62"/>
    </row>
    <row r="188" ht="15.75" customHeight="1">
      <c r="A188" s="62"/>
      <c r="B188" s="61"/>
      <c r="C188" s="61"/>
      <c r="H188" s="62"/>
    </row>
    <row r="189" ht="15.75" customHeight="1">
      <c r="A189" s="62"/>
      <c r="B189" s="61"/>
      <c r="C189" s="61"/>
      <c r="H189" s="62"/>
    </row>
    <row r="190" ht="15.75" customHeight="1">
      <c r="A190" s="62"/>
      <c r="B190" s="61"/>
      <c r="C190" s="61"/>
      <c r="H190" s="62"/>
    </row>
    <row r="191" ht="15.75" customHeight="1">
      <c r="A191" s="62"/>
      <c r="B191" s="61"/>
      <c r="C191" s="61"/>
      <c r="H191" s="62"/>
    </row>
    <row r="192" ht="15.75" customHeight="1">
      <c r="A192" s="62"/>
      <c r="B192" s="61"/>
      <c r="C192" s="61"/>
      <c r="H192" s="62"/>
    </row>
    <row r="193" ht="15.75" customHeight="1">
      <c r="A193" s="62"/>
      <c r="B193" s="61"/>
      <c r="C193" s="61"/>
      <c r="H193" s="62"/>
    </row>
    <row r="194" ht="15.75" customHeight="1">
      <c r="A194" s="62"/>
      <c r="B194" s="61"/>
      <c r="C194" s="61"/>
      <c r="H194" s="62"/>
    </row>
    <row r="195" ht="15.75" customHeight="1">
      <c r="A195" s="62"/>
      <c r="B195" s="61"/>
      <c r="C195" s="61"/>
      <c r="H195" s="62"/>
    </row>
    <row r="196" ht="15.75" customHeight="1">
      <c r="A196" s="62"/>
      <c r="B196" s="61"/>
      <c r="C196" s="61"/>
      <c r="H196" s="62"/>
    </row>
    <row r="197" ht="15.75" customHeight="1">
      <c r="A197" s="62"/>
      <c r="B197" s="61"/>
      <c r="C197" s="61"/>
      <c r="H197" s="62"/>
    </row>
    <row r="198" ht="15.75" customHeight="1">
      <c r="A198" s="62"/>
      <c r="B198" s="61"/>
      <c r="C198" s="61"/>
      <c r="H198" s="62"/>
    </row>
    <row r="199" ht="15.75" customHeight="1">
      <c r="A199" s="62"/>
      <c r="B199" s="61"/>
      <c r="C199" s="61"/>
      <c r="H199" s="62"/>
    </row>
    <row r="200" ht="15.75" customHeight="1">
      <c r="A200" s="62"/>
      <c r="B200" s="61"/>
      <c r="C200" s="61"/>
      <c r="H200" s="62"/>
    </row>
    <row r="201" ht="15.75" customHeight="1">
      <c r="A201" s="62"/>
      <c r="B201" s="61"/>
      <c r="C201" s="61"/>
      <c r="H201" s="62"/>
    </row>
    <row r="202" ht="15.75" customHeight="1">
      <c r="A202" s="62"/>
      <c r="B202" s="61"/>
      <c r="C202" s="61"/>
      <c r="H202" s="62"/>
    </row>
    <row r="203" ht="15.75" customHeight="1">
      <c r="A203" s="62"/>
      <c r="B203" s="61"/>
      <c r="C203" s="61"/>
      <c r="H203" s="62"/>
    </row>
    <row r="204" ht="15.75" customHeight="1">
      <c r="A204" s="62"/>
      <c r="B204" s="61"/>
      <c r="C204" s="61"/>
      <c r="H204" s="62"/>
    </row>
    <row r="205" ht="15.75" customHeight="1">
      <c r="A205" s="62"/>
      <c r="B205" s="61"/>
      <c r="C205" s="61"/>
      <c r="H205" s="62"/>
    </row>
    <row r="206" ht="15.75" customHeight="1">
      <c r="A206" s="62"/>
      <c r="B206" s="61"/>
      <c r="C206" s="61"/>
      <c r="H206" s="62"/>
    </row>
    <row r="207" ht="15.75" customHeight="1">
      <c r="A207" s="62"/>
      <c r="B207" s="61"/>
      <c r="C207" s="61"/>
      <c r="H207" s="62"/>
    </row>
    <row r="208" ht="15.75" customHeight="1">
      <c r="A208" s="62"/>
      <c r="B208" s="61"/>
      <c r="C208" s="61"/>
      <c r="H208" s="62"/>
    </row>
    <row r="209" ht="15.75" customHeight="1">
      <c r="A209" s="62"/>
      <c r="B209" s="61"/>
      <c r="C209" s="61"/>
      <c r="H209" s="62"/>
    </row>
    <row r="210" ht="15.75" customHeight="1">
      <c r="A210" s="62"/>
      <c r="B210" s="61"/>
      <c r="C210" s="61"/>
      <c r="H210" s="62"/>
    </row>
    <row r="211" ht="15.75" customHeight="1">
      <c r="A211" s="62"/>
      <c r="B211" s="61"/>
      <c r="C211" s="61"/>
      <c r="H211" s="62"/>
    </row>
    <row r="212" ht="15.75" customHeight="1">
      <c r="A212" s="62"/>
      <c r="B212" s="61"/>
      <c r="C212" s="61"/>
      <c r="H212" s="62"/>
    </row>
    <row r="213" ht="15.75" customHeight="1">
      <c r="A213" s="62"/>
      <c r="B213" s="61"/>
      <c r="C213" s="61"/>
      <c r="H213" s="62"/>
    </row>
    <row r="214" ht="15.75" customHeight="1">
      <c r="A214" s="62"/>
      <c r="B214" s="61"/>
      <c r="C214" s="61"/>
      <c r="H214" s="62"/>
    </row>
    <row r="215" ht="15.75" customHeight="1">
      <c r="A215" s="62"/>
      <c r="B215" s="61"/>
      <c r="C215" s="61"/>
      <c r="H215" s="62"/>
    </row>
    <row r="216" ht="15.75" customHeight="1">
      <c r="A216" s="62"/>
      <c r="B216" s="61"/>
      <c r="C216" s="61"/>
      <c r="H216" s="62"/>
    </row>
    <row r="217" ht="15.75" customHeight="1">
      <c r="A217" s="62"/>
      <c r="B217" s="61"/>
      <c r="C217" s="61"/>
      <c r="H217" s="62"/>
    </row>
    <row r="218" ht="15.75" customHeight="1">
      <c r="A218" s="62"/>
      <c r="B218" s="61"/>
      <c r="C218" s="61"/>
      <c r="H218" s="62"/>
    </row>
    <row r="219" ht="15.75" customHeight="1">
      <c r="A219" s="62"/>
      <c r="B219" s="61"/>
      <c r="C219" s="61"/>
      <c r="H219" s="62"/>
    </row>
    <row r="220" ht="15.75" customHeight="1">
      <c r="A220" s="62"/>
      <c r="B220" s="61"/>
      <c r="C220" s="61"/>
      <c r="H220" s="62"/>
    </row>
    <row r="221" ht="15.75" customHeight="1">
      <c r="A221" s="62"/>
      <c r="B221" s="61"/>
      <c r="C221" s="61"/>
      <c r="H221" s="62"/>
    </row>
    <row r="222" ht="15.75" customHeight="1">
      <c r="A222" s="62"/>
      <c r="B222" s="61"/>
      <c r="C222" s="61"/>
      <c r="H222" s="62"/>
    </row>
    <row r="223" ht="15.75" customHeight="1">
      <c r="A223" s="62"/>
      <c r="B223" s="61"/>
      <c r="C223" s="61"/>
      <c r="H223" s="62"/>
    </row>
    <row r="224" ht="15.75" customHeight="1">
      <c r="A224" s="62"/>
      <c r="B224" s="61"/>
      <c r="C224" s="61"/>
      <c r="H224" s="62"/>
    </row>
    <row r="225" ht="15.75" customHeight="1">
      <c r="A225" s="62"/>
      <c r="B225" s="61"/>
      <c r="C225" s="61"/>
      <c r="H225" s="62"/>
    </row>
    <row r="226" ht="15.75" customHeight="1">
      <c r="A226" s="62"/>
      <c r="B226" s="61"/>
      <c r="C226" s="61"/>
      <c r="H226" s="62"/>
    </row>
    <row r="227" ht="15.75" customHeight="1">
      <c r="A227" s="62"/>
      <c r="B227" s="61"/>
      <c r="C227" s="61"/>
      <c r="H227" s="62"/>
    </row>
    <row r="228" ht="15.75" customHeight="1">
      <c r="A228" s="62"/>
      <c r="B228" s="61"/>
      <c r="C228" s="61"/>
      <c r="H228" s="62"/>
    </row>
    <row r="229" ht="15.75" customHeight="1">
      <c r="A229" s="62"/>
      <c r="B229" s="61"/>
      <c r="C229" s="61"/>
      <c r="H229" s="62"/>
    </row>
    <row r="230" ht="15.75" customHeight="1">
      <c r="A230" s="62"/>
      <c r="B230" s="61"/>
      <c r="C230" s="61"/>
      <c r="H230" s="62"/>
    </row>
    <row r="231" ht="15.75" customHeight="1">
      <c r="A231" s="62"/>
      <c r="B231" s="61"/>
      <c r="C231" s="61"/>
      <c r="H231" s="62"/>
    </row>
    <row r="232" ht="15.75" customHeight="1">
      <c r="A232" s="62"/>
      <c r="B232" s="61"/>
      <c r="C232" s="61"/>
      <c r="H232" s="62"/>
    </row>
    <row r="233" ht="15.75" customHeight="1">
      <c r="A233" s="62"/>
      <c r="B233" s="61"/>
      <c r="C233" s="61"/>
      <c r="H233" s="62"/>
    </row>
    <row r="234" ht="15.75" customHeight="1">
      <c r="A234" s="62"/>
      <c r="B234" s="61"/>
      <c r="C234" s="61"/>
      <c r="H234" s="62"/>
    </row>
    <row r="235" ht="15.75" customHeight="1">
      <c r="A235" s="62"/>
      <c r="B235" s="61"/>
      <c r="C235" s="61"/>
      <c r="H235" s="62"/>
    </row>
    <row r="236" ht="15.75" customHeight="1">
      <c r="A236" s="62"/>
      <c r="B236" s="61"/>
      <c r="C236" s="61"/>
      <c r="H236" s="62"/>
    </row>
    <row r="237" ht="15.75" customHeight="1">
      <c r="A237" s="62"/>
      <c r="B237" s="61"/>
      <c r="C237" s="61"/>
      <c r="H237" s="62"/>
    </row>
    <row r="238" ht="15.75" customHeight="1">
      <c r="A238" s="62"/>
      <c r="B238" s="61"/>
      <c r="C238" s="61"/>
      <c r="H238" s="62"/>
    </row>
    <row r="239" ht="15.75" customHeight="1">
      <c r="A239" s="62"/>
      <c r="B239" s="61"/>
      <c r="C239" s="61"/>
      <c r="H239" s="62"/>
    </row>
    <row r="240" ht="15.75" customHeight="1">
      <c r="A240" s="62"/>
      <c r="B240" s="61"/>
      <c r="C240" s="61"/>
      <c r="H240" s="62"/>
    </row>
    <row r="241" ht="15.75" customHeight="1">
      <c r="A241" s="62"/>
      <c r="B241" s="61"/>
      <c r="C241" s="61"/>
      <c r="H241" s="62"/>
    </row>
    <row r="242" ht="15.75" customHeight="1">
      <c r="A242" s="62"/>
      <c r="B242" s="61"/>
      <c r="C242" s="61"/>
      <c r="H242" s="62"/>
    </row>
    <row r="243" ht="15.75" customHeight="1">
      <c r="A243" s="62"/>
      <c r="B243" s="61"/>
      <c r="C243" s="61"/>
      <c r="H243" s="62"/>
    </row>
    <row r="244" ht="15.75" customHeight="1">
      <c r="A244" s="62"/>
      <c r="B244" s="61"/>
      <c r="C244" s="61"/>
      <c r="H244" s="62"/>
    </row>
    <row r="245" ht="15.75" customHeight="1">
      <c r="A245" s="62"/>
      <c r="B245" s="61"/>
      <c r="C245" s="61"/>
      <c r="H245" s="62"/>
    </row>
    <row r="246" ht="15.75" customHeight="1">
      <c r="A246" s="62"/>
      <c r="B246" s="61"/>
      <c r="C246" s="61"/>
      <c r="H246" s="62"/>
    </row>
    <row r="247" ht="15.75" customHeight="1">
      <c r="A247" s="62"/>
      <c r="B247" s="61"/>
      <c r="C247" s="61"/>
      <c r="H247" s="62"/>
    </row>
    <row r="248" ht="15.75" customHeight="1">
      <c r="A248" s="62"/>
      <c r="B248" s="61"/>
      <c r="C248" s="61"/>
      <c r="H248" s="62"/>
    </row>
    <row r="249" ht="15.75" customHeight="1">
      <c r="A249" s="62"/>
      <c r="B249" s="61"/>
      <c r="C249" s="61"/>
      <c r="H249" s="62"/>
    </row>
    <row r="250" ht="15.75" customHeight="1">
      <c r="A250" s="62"/>
      <c r="B250" s="61"/>
      <c r="C250" s="61"/>
      <c r="H250" s="62"/>
    </row>
    <row r="251" ht="15.75" customHeight="1">
      <c r="A251" s="62"/>
      <c r="B251" s="61"/>
      <c r="C251" s="61"/>
      <c r="H251" s="62"/>
    </row>
    <row r="252" ht="15.75" customHeight="1">
      <c r="A252" s="62"/>
      <c r="B252" s="61"/>
      <c r="C252" s="61"/>
      <c r="H252" s="62"/>
    </row>
    <row r="253" ht="15.75" customHeight="1">
      <c r="A253" s="62"/>
      <c r="B253" s="61"/>
      <c r="C253" s="61"/>
      <c r="H253" s="62"/>
    </row>
    <row r="254" ht="15.75" customHeight="1">
      <c r="A254" s="62"/>
      <c r="B254" s="61"/>
      <c r="C254" s="61"/>
      <c r="H254" s="62"/>
    </row>
    <row r="255" ht="15.75" customHeight="1">
      <c r="A255" s="62"/>
      <c r="B255" s="61"/>
      <c r="C255" s="61"/>
      <c r="H255" s="62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7">
    <mergeCell ref="A2:A11"/>
    <mergeCell ref="B2:B8"/>
    <mergeCell ref="B9:B11"/>
    <mergeCell ref="A12:C12"/>
    <mergeCell ref="A13:A23"/>
    <mergeCell ref="B13:B17"/>
    <mergeCell ref="B18:B23"/>
    <mergeCell ref="A24:C24"/>
    <mergeCell ref="A25:A27"/>
    <mergeCell ref="B26:B27"/>
    <mergeCell ref="A28:C28"/>
    <mergeCell ref="A29:A32"/>
    <mergeCell ref="B29:B30"/>
    <mergeCell ref="B31:B32"/>
    <mergeCell ref="A33:C33"/>
    <mergeCell ref="A34:A39"/>
    <mergeCell ref="B34:B36"/>
    <mergeCell ref="B37:B39"/>
    <mergeCell ref="A40:C40"/>
    <mergeCell ref="A41:A46"/>
    <mergeCell ref="B41:B44"/>
    <mergeCell ref="B45:B46"/>
    <mergeCell ref="A47:C47"/>
    <mergeCell ref="A48:A54"/>
    <mergeCell ref="B48:B52"/>
    <mergeCell ref="B53:B54"/>
    <mergeCell ref="A55:C5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400FA-00E4-4D47-A106-008F008400F0}" type="list" allowBlank="1" errorStyle="stop" imeMode="noControl" operator="between" showDropDown="0" showErrorMessage="1" showInputMessage="0">
          <x14:formula1>
            <xm:f>"0,1,2"</xm:f>
          </x14:formula1>
          <xm:sqref>D13:H23 D25:H27 D29:H32 D34:H39 D48:H54 D41:H46 D2:G11</xm:sqref>
        </x14:dataValidation>
        <x14:dataValidation xr:uid="{004A00A4-009B-450E-BDBA-004300D100DA}" type="list" allowBlank="1" errorStyle="stop" imeMode="noControl" operator="between" showDropDown="0" showErrorMessage="0" showInputMessage="0">
          <x14:formula1>
            <xm:f>"0,1,2"</xm:f>
          </x14:formula1>
          <xm:sqref>H2:H11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10" workbookViewId="0">
      <selection activeCell="C2" activeCellId="0" sqref="C2"/>
    </sheetView>
  </sheetViews>
  <sheetFormatPr defaultColWidth="12.6640625" defaultRowHeight="15" customHeight="1"/>
  <cols>
    <col customWidth="1" min="1" max="1" width="4.6640625"/>
    <col customWidth="1" min="2" max="2" width="3"/>
    <col customWidth="1" min="3" max="3" width="56.6640625"/>
    <col customWidth="1" min="4" max="4" width="12.44140625"/>
    <col customWidth="1" min="5" max="7" style="10" width="12.44140625"/>
    <col customWidth="1" min="8" max="8" width="12.77734375"/>
    <col customWidth="1" min="9" max="9" width="20.109375"/>
    <col customWidth="1" min="12" max="12" width="28.44140625"/>
  </cols>
  <sheetData>
    <row r="1" ht="25.5">
      <c r="A1" s="11"/>
      <c r="B1" s="12"/>
      <c r="C1" s="12" t="s">
        <v>24</v>
      </c>
      <c r="D1" s="77" t="s">
        <v>25</v>
      </c>
      <c r="E1" s="13" t="s">
        <v>26</v>
      </c>
      <c r="F1" s="13" t="s">
        <v>27</v>
      </c>
      <c r="G1" s="13" t="s">
        <v>28</v>
      </c>
      <c r="H1" s="13" t="s">
        <v>77</v>
      </c>
      <c r="I1" s="77" t="s">
        <v>30</v>
      </c>
    </row>
    <row r="2" ht="25.5">
      <c r="A2" s="14" t="s">
        <v>31</v>
      </c>
      <c r="B2" s="110" t="s">
        <v>15</v>
      </c>
      <c r="C2" s="103" t="s">
        <v>135</v>
      </c>
      <c r="D2" s="91">
        <v>0</v>
      </c>
      <c r="E2" s="91">
        <v>0</v>
      </c>
      <c r="F2" s="91">
        <v>0</v>
      </c>
      <c r="G2" s="91">
        <v>0</v>
      </c>
      <c r="H2" s="17">
        <v>0</v>
      </c>
      <c r="I2" s="79"/>
    </row>
    <row r="3" ht="38.25">
      <c r="A3" s="82"/>
      <c r="B3" s="83"/>
      <c r="C3" s="21" t="s">
        <v>136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84"/>
    </row>
    <row r="4" ht="25.5">
      <c r="A4" s="82"/>
      <c r="B4" s="85"/>
      <c r="C4" s="26" t="s">
        <v>137</v>
      </c>
      <c r="D4" s="94">
        <v>0</v>
      </c>
      <c r="E4" s="94">
        <v>0</v>
      </c>
      <c r="F4" s="94">
        <v>0</v>
      </c>
      <c r="G4" s="94">
        <v>0</v>
      </c>
      <c r="H4" s="27">
        <v>0</v>
      </c>
      <c r="I4" s="86"/>
    </row>
    <row r="5" ht="51">
      <c r="A5" s="82"/>
      <c r="B5" s="110" t="s">
        <v>18</v>
      </c>
      <c r="C5" s="16" t="s">
        <v>159</v>
      </c>
      <c r="D5" s="91">
        <v>0</v>
      </c>
      <c r="E5" s="91">
        <v>0</v>
      </c>
      <c r="F5" s="91">
        <v>0</v>
      </c>
      <c r="G5" s="91">
        <v>0</v>
      </c>
      <c r="H5" s="17">
        <v>0</v>
      </c>
      <c r="I5" s="79"/>
    </row>
    <row r="6" ht="25.5">
      <c r="A6" s="82"/>
      <c r="B6" s="83"/>
      <c r="C6" s="21" t="s">
        <v>160</v>
      </c>
      <c r="D6" s="95">
        <v>0</v>
      </c>
      <c r="E6" s="95">
        <v>0</v>
      </c>
      <c r="F6" s="95">
        <v>0</v>
      </c>
      <c r="G6" s="95">
        <v>0</v>
      </c>
      <c r="H6" s="22">
        <v>0</v>
      </c>
      <c r="I6" s="84"/>
    </row>
    <row r="7" ht="25.5">
      <c r="A7" s="82"/>
      <c r="B7" s="83"/>
      <c r="C7" s="24" t="s">
        <v>161</v>
      </c>
      <c r="D7" s="95">
        <v>0</v>
      </c>
      <c r="E7" s="95">
        <v>0</v>
      </c>
      <c r="F7" s="95">
        <v>0</v>
      </c>
      <c r="G7" s="95">
        <v>0</v>
      </c>
      <c r="H7" s="22">
        <v>0</v>
      </c>
      <c r="I7" s="84"/>
    </row>
    <row r="8" ht="25.5">
      <c r="A8" s="82"/>
      <c r="B8" s="83"/>
      <c r="C8" s="24" t="s">
        <v>162</v>
      </c>
      <c r="D8" s="95">
        <v>0</v>
      </c>
      <c r="E8" s="95">
        <v>0</v>
      </c>
      <c r="F8" s="95">
        <v>0</v>
      </c>
      <c r="G8" s="95">
        <v>0</v>
      </c>
      <c r="H8" s="22">
        <v>0</v>
      </c>
      <c r="I8" s="84"/>
    </row>
    <row r="9" ht="25.5">
      <c r="A9" s="87"/>
      <c r="B9" s="85"/>
      <c r="C9" s="39" t="s">
        <v>163</v>
      </c>
      <c r="D9" s="94">
        <v>0</v>
      </c>
      <c r="E9" s="94">
        <v>0</v>
      </c>
      <c r="F9" s="94">
        <v>0</v>
      </c>
      <c r="G9" s="94">
        <v>0</v>
      </c>
      <c r="H9" s="27">
        <v>0</v>
      </c>
      <c r="I9" s="86"/>
    </row>
    <row r="10" ht="15.75" customHeight="1">
      <c r="A10" s="34" t="s">
        <v>41</v>
      </c>
      <c r="B10" s="10"/>
      <c r="C10" s="88"/>
      <c r="D10" s="89">
        <f t="shared" ref="D10:H10" si="30">AVERAGE(D2:D9)</f>
        <v>0</v>
      </c>
      <c r="E10" s="89">
        <f t="shared" si="30"/>
        <v>0</v>
      </c>
      <c r="F10" s="89">
        <f t="shared" si="30"/>
        <v>0</v>
      </c>
      <c r="G10" s="89">
        <f t="shared" si="30"/>
        <v>0</v>
      </c>
      <c r="H10" s="89">
        <f t="shared" si="30"/>
        <v>0</v>
      </c>
      <c r="I10" s="90"/>
    </row>
    <row r="11" ht="15.75" customHeight="1">
      <c r="A11" s="38" t="s">
        <v>42</v>
      </c>
      <c r="B11" s="110" t="s">
        <v>15</v>
      </c>
      <c r="C11" s="16" t="s">
        <v>138</v>
      </c>
      <c r="D11" s="91">
        <v>0</v>
      </c>
      <c r="E11" s="91">
        <v>0</v>
      </c>
      <c r="F11" s="91">
        <v>0</v>
      </c>
      <c r="G11" s="91">
        <v>0</v>
      </c>
      <c r="H11" s="17">
        <v>0</v>
      </c>
      <c r="I11" s="79"/>
    </row>
    <row r="12" ht="25.5">
      <c r="A12" s="82"/>
      <c r="B12" s="83"/>
      <c r="C12" s="24" t="s">
        <v>139</v>
      </c>
      <c r="D12" s="95">
        <v>0</v>
      </c>
      <c r="E12" s="95">
        <v>0</v>
      </c>
      <c r="F12" s="95">
        <v>0</v>
      </c>
      <c r="G12" s="95">
        <v>0</v>
      </c>
      <c r="H12" s="22">
        <v>0</v>
      </c>
      <c r="I12" s="84"/>
    </row>
    <row r="13" ht="25.5">
      <c r="A13" s="82"/>
      <c r="B13" s="83"/>
      <c r="C13" s="24" t="s">
        <v>140</v>
      </c>
      <c r="D13" s="95">
        <v>0</v>
      </c>
      <c r="E13" s="95">
        <v>0</v>
      </c>
      <c r="F13" s="95">
        <v>0</v>
      </c>
      <c r="G13" s="95">
        <v>0</v>
      </c>
      <c r="H13" s="22">
        <v>0</v>
      </c>
      <c r="I13" s="84"/>
    </row>
    <row r="14" ht="25.5">
      <c r="A14" s="82"/>
      <c r="B14" s="83"/>
      <c r="C14" s="24" t="s">
        <v>141</v>
      </c>
      <c r="D14" s="95">
        <v>0</v>
      </c>
      <c r="E14" s="95">
        <v>0</v>
      </c>
      <c r="F14" s="95">
        <v>0</v>
      </c>
      <c r="G14" s="95">
        <v>0</v>
      </c>
      <c r="H14" s="22">
        <v>0</v>
      </c>
      <c r="I14" s="84"/>
    </row>
    <row r="15" ht="25.5">
      <c r="A15" s="82"/>
      <c r="B15" s="83"/>
      <c r="C15" s="24" t="s">
        <v>142</v>
      </c>
      <c r="D15" s="95">
        <v>0</v>
      </c>
      <c r="E15" s="95">
        <v>0</v>
      </c>
      <c r="F15" s="95">
        <v>0</v>
      </c>
      <c r="G15" s="95">
        <v>0</v>
      </c>
      <c r="H15" s="95">
        <v>0</v>
      </c>
      <c r="I15" s="84"/>
    </row>
    <row r="16" ht="38.25">
      <c r="A16" s="82"/>
      <c r="B16" s="85"/>
      <c r="C16" s="9" t="s">
        <v>143</v>
      </c>
      <c r="D16" s="94">
        <v>0</v>
      </c>
      <c r="E16" s="94">
        <v>0</v>
      </c>
      <c r="F16" s="94">
        <v>0</v>
      </c>
      <c r="G16" s="94">
        <v>0</v>
      </c>
      <c r="H16" s="27">
        <v>0</v>
      </c>
      <c r="I16" s="86"/>
    </row>
    <row r="17" ht="38.25">
      <c r="A17" s="82"/>
      <c r="B17" s="110" t="s">
        <v>18</v>
      </c>
      <c r="C17" s="16" t="s">
        <v>164</v>
      </c>
      <c r="D17" s="91">
        <v>0</v>
      </c>
      <c r="E17" s="91">
        <v>0</v>
      </c>
      <c r="F17" s="91">
        <v>0</v>
      </c>
      <c r="G17" s="91">
        <v>0</v>
      </c>
      <c r="H17" s="17">
        <v>0</v>
      </c>
      <c r="I17" s="79"/>
    </row>
    <row r="18" ht="51">
      <c r="A18" s="82"/>
      <c r="B18" s="83"/>
      <c r="C18" s="24" t="s">
        <v>165</v>
      </c>
      <c r="D18" s="95">
        <v>0</v>
      </c>
      <c r="E18" s="95">
        <v>0</v>
      </c>
      <c r="F18" s="95">
        <v>0</v>
      </c>
      <c r="G18" s="95">
        <v>0</v>
      </c>
      <c r="H18" s="22">
        <v>0</v>
      </c>
      <c r="I18" s="84"/>
    </row>
    <row r="19" ht="38.25">
      <c r="A19" s="82"/>
      <c r="B19" s="83"/>
      <c r="C19" s="24" t="s">
        <v>166</v>
      </c>
      <c r="D19" s="95">
        <v>0</v>
      </c>
      <c r="E19" s="95">
        <v>0</v>
      </c>
      <c r="F19" s="95">
        <v>0</v>
      </c>
      <c r="G19" s="95">
        <v>0</v>
      </c>
      <c r="H19" s="22">
        <v>0</v>
      </c>
      <c r="I19" s="84"/>
    </row>
    <row r="20" ht="51">
      <c r="A20" s="87"/>
      <c r="B20" s="85"/>
      <c r="C20" s="26" t="s">
        <v>167</v>
      </c>
      <c r="D20" s="94">
        <v>0</v>
      </c>
      <c r="E20" s="94">
        <v>0</v>
      </c>
      <c r="F20" s="94">
        <v>0</v>
      </c>
      <c r="G20" s="94">
        <v>0</v>
      </c>
      <c r="H20" s="27">
        <v>0</v>
      </c>
      <c r="I20" s="86"/>
    </row>
    <row r="21" ht="15.75" customHeight="1">
      <c r="A21" s="34" t="s">
        <v>41</v>
      </c>
      <c r="B21" s="10"/>
      <c r="C21" s="88"/>
      <c r="D21" s="36">
        <f t="shared" ref="D21:H21" si="31">AVERAGE(D11:D20)</f>
        <v>0</v>
      </c>
      <c r="E21" s="36">
        <f t="shared" si="31"/>
        <v>0</v>
      </c>
      <c r="F21" s="36">
        <f t="shared" si="31"/>
        <v>0</v>
      </c>
      <c r="G21" s="36">
        <f t="shared" si="31"/>
        <v>0</v>
      </c>
      <c r="H21" s="36">
        <f t="shared" si="31"/>
        <v>0</v>
      </c>
      <c r="I21" s="90"/>
    </row>
    <row r="22" ht="38.25">
      <c r="A22" s="45" t="s">
        <v>50</v>
      </c>
      <c r="B22" s="110" t="s">
        <v>15</v>
      </c>
      <c r="C22" s="16" t="s">
        <v>144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79"/>
      <c r="L22" s="43" t="s">
        <v>24</v>
      </c>
      <c r="M22" s="44" t="s">
        <v>48</v>
      </c>
      <c r="N22" s="43" t="s">
        <v>49</v>
      </c>
      <c r="O22" s="43" t="s">
        <v>15</v>
      </c>
      <c r="P22" s="43" t="s">
        <v>18</v>
      </c>
    </row>
    <row r="23" ht="25.5">
      <c r="A23" s="82"/>
      <c r="B23" s="85"/>
      <c r="C23" s="26" t="s">
        <v>145</v>
      </c>
      <c r="D23" s="94">
        <v>0</v>
      </c>
      <c r="E23" s="94">
        <v>0</v>
      </c>
      <c r="F23" s="94">
        <v>0</v>
      </c>
      <c r="G23" s="94">
        <v>0</v>
      </c>
      <c r="H23" s="94">
        <v>0</v>
      </c>
      <c r="I23" s="86"/>
      <c r="L23" s="46" t="s">
        <v>31</v>
      </c>
      <c r="M23" s="47">
        <f>D10</f>
        <v>0</v>
      </c>
      <c r="N23" s="48">
        <f t="shared" ref="N23:N29" si="32">O23+(2-O23)*0.7</f>
        <v>1.625</v>
      </c>
      <c r="O23" s="48">
        <f>2*3/8</f>
        <v>0.75</v>
      </c>
      <c r="P23" s="49">
        <v>2</v>
      </c>
    </row>
    <row r="24" ht="25.5">
      <c r="A24" s="82"/>
      <c r="B24" s="110" t="s">
        <v>18</v>
      </c>
      <c r="C24" s="16" t="s">
        <v>168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79"/>
      <c r="L24" s="50" t="s">
        <v>42</v>
      </c>
      <c r="M24" s="47">
        <f>D21</f>
        <v>0</v>
      </c>
      <c r="N24" s="48">
        <f t="shared" si="32"/>
        <v>1.7599999999999998</v>
      </c>
      <c r="O24" s="48">
        <f>2*6/10</f>
        <v>1.2</v>
      </c>
      <c r="P24" s="49">
        <v>2</v>
      </c>
    </row>
    <row r="25" ht="38.25">
      <c r="A25" s="82"/>
      <c r="B25" s="83"/>
      <c r="C25" s="30" t="s">
        <v>169</v>
      </c>
      <c r="D25" s="102">
        <v>0</v>
      </c>
      <c r="E25" s="102">
        <v>0</v>
      </c>
      <c r="F25" s="102">
        <v>0</v>
      </c>
      <c r="G25" s="102">
        <v>0</v>
      </c>
      <c r="H25" s="102">
        <v>0</v>
      </c>
      <c r="I25" s="81"/>
      <c r="L25" s="43" t="s">
        <v>54</v>
      </c>
      <c r="M25" s="47">
        <f>D28</f>
        <v>0</v>
      </c>
      <c r="N25" s="48">
        <f t="shared" si="32"/>
        <v>1.6000000000000001</v>
      </c>
      <c r="O25" s="48">
        <f>2*2/6</f>
        <v>0.66666666666666663</v>
      </c>
      <c r="P25" s="49">
        <v>2</v>
      </c>
    </row>
    <row r="26" ht="25.5">
      <c r="A26" s="82"/>
      <c r="B26" s="83"/>
      <c r="C26" s="24" t="s">
        <v>170</v>
      </c>
      <c r="D26" s="95">
        <v>0</v>
      </c>
      <c r="E26" s="95">
        <v>0</v>
      </c>
      <c r="F26" s="95">
        <v>0</v>
      </c>
      <c r="G26" s="95">
        <v>0</v>
      </c>
      <c r="H26" s="95">
        <v>0</v>
      </c>
      <c r="I26" s="84"/>
      <c r="L26" s="55" t="s">
        <v>56</v>
      </c>
      <c r="M26" s="47">
        <f>D31</f>
        <v>0</v>
      </c>
      <c r="N26" s="48">
        <f t="shared" si="32"/>
        <v>2</v>
      </c>
      <c r="O26" s="48">
        <f>2*2/2</f>
        <v>2</v>
      </c>
      <c r="P26" s="49">
        <v>2</v>
      </c>
    </row>
    <row r="27" ht="25.5">
      <c r="A27" s="87"/>
      <c r="B27" s="85"/>
      <c r="C27" s="26" t="s">
        <v>171</v>
      </c>
      <c r="D27" s="94">
        <v>0</v>
      </c>
      <c r="E27" s="94">
        <v>0</v>
      </c>
      <c r="F27" s="94">
        <v>0</v>
      </c>
      <c r="G27" s="94">
        <v>0</v>
      </c>
      <c r="H27" s="94">
        <v>0</v>
      </c>
      <c r="I27" s="86"/>
      <c r="L27" s="56" t="s">
        <v>57</v>
      </c>
      <c r="M27" s="47">
        <f>D36</f>
        <v>0</v>
      </c>
      <c r="N27" s="48">
        <f t="shared" si="32"/>
        <v>1.8500000000000001</v>
      </c>
      <c r="O27" s="48">
        <f>2*3/4</f>
        <v>1.5</v>
      </c>
      <c r="P27" s="49">
        <v>2</v>
      </c>
    </row>
    <row r="28" ht="15.75" customHeight="1">
      <c r="A28" s="34" t="s">
        <v>41</v>
      </c>
      <c r="B28" s="10"/>
      <c r="C28" s="88"/>
      <c r="D28" s="36">
        <f t="shared" ref="D28:H28" si="33">AVERAGE(D22:D27)</f>
        <v>0</v>
      </c>
      <c r="E28" s="36">
        <f t="shared" si="33"/>
        <v>0</v>
      </c>
      <c r="F28" s="36">
        <f t="shared" si="33"/>
        <v>0</v>
      </c>
      <c r="G28" s="36">
        <f t="shared" si="33"/>
        <v>0</v>
      </c>
      <c r="H28" s="36">
        <f t="shared" si="33"/>
        <v>0</v>
      </c>
      <c r="I28" s="90"/>
      <c r="L28" s="58" t="s">
        <v>59</v>
      </c>
      <c r="M28" s="47">
        <f>D40</f>
        <v>0</v>
      </c>
      <c r="N28" s="48">
        <f t="shared" si="32"/>
        <v>1.7999999999999998</v>
      </c>
      <c r="O28" s="48">
        <f>2*2/3</f>
        <v>1.3333333333333333</v>
      </c>
      <c r="P28" s="49">
        <v>2</v>
      </c>
    </row>
    <row r="29" ht="25.5">
      <c r="A29" s="57" t="s">
        <v>56</v>
      </c>
      <c r="B29" s="110" t="s">
        <v>15</v>
      </c>
      <c r="C29" s="16" t="s">
        <v>147</v>
      </c>
      <c r="D29" s="91">
        <v>0</v>
      </c>
      <c r="E29" s="91">
        <v>0</v>
      </c>
      <c r="F29" s="91">
        <v>0</v>
      </c>
      <c r="G29" s="91">
        <v>0</v>
      </c>
      <c r="H29" s="17">
        <v>0</v>
      </c>
      <c r="I29" s="79"/>
      <c r="L29" s="59" t="s">
        <v>61</v>
      </c>
      <c r="M29" s="47">
        <f>D45</f>
        <v>0</v>
      </c>
      <c r="N29" s="48">
        <f t="shared" si="32"/>
        <v>1.7</v>
      </c>
      <c r="O29" s="48">
        <f>2*2/4</f>
        <v>1</v>
      </c>
      <c r="P29" s="49">
        <v>2</v>
      </c>
    </row>
    <row r="30" ht="25.5">
      <c r="A30" s="87"/>
      <c r="B30" s="85"/>
      <c r="C30" s="26" t="s">
        <v>148</v>
      </c>
      <c r="D30" s="94">
        <v>0</v>
      </c>
      <c r="E30" s="94">
        <v>0</v>
      </c>
      <c r="F30" s="94">
        <v>0</v>
      </c>
      <c r="G30" s="94">
        <v>0</v>
      </c>
      <c r="H30" s="27">
        <v>0</v>
      </c>
      <c r="I30" s="86"/>
    </row>
    <row r="31" ht="15.75" customHeight="1">
      <c r="A31" s="34" t="s">
        <v>41</v>
      </c>
      <c r="B31" s="10"/>
      <c r="C31" s="88"/>
      <c r="D31" s="36">
        <f t="shared" ref="D31:H31" si="34">AVERAGE(D29:D30)</f>
        <v>0</v>
      </c>
      <c r="E31" s="36">
        <f t="shared" si="34"/>
        <v>0</v>
      </c>
      <c r="F31" s="36">
        <f t="shared" si="34"/>
        <v>0</v>
      </c>
      <c r="G31" s="36">
        <f t="shared" si="34"/>
        <v>0</v>
      </c>
      <c r="H31" s="36">
        <f t="shared" si="34"/>
        <v>0</v>
      </c>
      <c r="I31" s="90"/>
    </row>
    <row r="32" ht="25.5">
      <c r="A32" s="60" t="s">
        <v>57</v>
      </c>
      <c r="B32" s="110" t="s">
        <v>15</v>
      </c>
      <c r="C32" s="16" t="s">
        <v>149</v>
      </c>
      <c r="D32" s="91">
        <v>0</v>
      </c>
      <c r="E32" s="91">
        <v>0</v>
      </c>
      <c r="F32" s="91">
        <v>0</v>
      </c>
      <c r="G32" s="91">
        <v>0</v>
      </c>
      <c r="H32" s="91">
        <v>0</v>
      </c>
      <c r="I32" s="79"/>
    </row>
    <row r="33" ht="25.5">
      <c r="A33" s="82"/>
      <c r="B33" s="83"/>
      <c r="C33" s="21" t="s">
        <v>150</v>
      </c>
      <c r="D33" s="95">
        <v>0</v>
      </c>
      <c r="E33" s="95">
        <v>0</v>
      </c>
      <c r="F33" s="95">
        <v>0</v>
      </c>
      <c r="G33" s="95">
        <v>0</v>
      </c>
      <c r="H33" s="95">
        <v>0</v>
      </c>
      <c r="I33" s="84"/>
    </row>
    <row r="34" ht="25.5">
      <c r="A34" s="82"/>
      <c r="B34" s="85"/>
      <c r="C34" s="26" t="s">
        <v>151</v>
      </c>
      <c r="D34" s="94">
        <v>0</v>
      </c>
      <c r="E34" s="94">
        <v>0</v>
      </c>
      <c r="F34" s="94">
        <v>0</v>
      </c>
      <c r="G34" s="94">
        <v>0</v>
      </c>
      <c r="H34" s="94">
        <v>0</v>
      </c>
      <c r="I34" s="86"/>
    </row>
    <row r="35" ht="25.5">
      <c r="A35" s="87"/>
      <c r="B35" s="112" t="s">
        <v>18</v>
      </c>
      <c r="C35" s="53" t="s">
        <v>172</v>
      </c>
      <c r="D35" s="96">
        <v>0</v>
      </c>
      <c r="E35" s="96">
        <v>0</v>
      </c>
      <c r="F35" s="96">
        <v>0</v>
      </c>
      <c r="G35" s="96">
        <v>0</v>
      </c>
      <c r="H35" s="96">
        <v>0</v>
      </c>
      <c r="I35" s="97"/>
    </row>
    <row r="36" ht="15.75" customHeight="1">
      <c r="A36" s="34" t="s">
        <v>41</v>
      </c>
      <c r="B36" s="10"/>
      <c r="C36" s="88"/>
      <c r="D36" s="36">
        <f t="shared" ref="D36:H36" si="35">AVERAGE(D32:D35)</f>
        <v>0</v>
      </c>
      <c r="E36" s="36">
        <f t="shared" si="35"/>
        <v>0</v>
      </c>
      <c r="F36" s="36">
        <f t="shared" si="35"/>
        <v>0</v>
      </c>
      <c r="G36" s="36">
        <f t="shared" si="35"/>
        <v>0</v>
      </c>
      <c r="H36" s="36">
        <f t="shared" si="35"/>
        <v>0</v>
      </c>
      <c r="I36" s="90"/>
    </row>
    <row r="37" ht="25.5">
      <c r="A37" s="65" t="s">
        <v>59</v>
      </c>
      <c r="B37" s="110" t="s">
        <v>15</v>
      </c>
      <c r="C37" s="16" t="s">
        <v>153</v>
      </c>
      <c r="D37" s="91">
        <v>0</v>
      </c>
      <c r="E37" s="91">
        <v>0</v>
      </c>
      <c r="F37" s="91">
        <v>0</v>
      </c>
      <c r="G37" s="91">
        <v>0</v>
      </c>
      <c r="H37" s="91">
        <v>0</v>
      </c>
      <c r="I37" s="79"/>
    </row>
    <row r="38" ht="38.25">
      <c r="A38" s="82"/>
      <c r="B38" s="85"/>
      <c r="C38" s="26" t="s">
        <v>154</v>
      </c>
      <c r="D38" s="94">
        <v>0</v>
      </c>
      <c r="E38" s="94">
        <v>0</v>
      </c>
      <c r="F38" s="94">
        <v>0</v>
      </c>
      <c r="G38" s="94">
        <v>0</v>
      </c>
      <c r="H38" s="94">
        <v>0</v>
      </c>
      <c r="I38" s="86"/>
    </row>
    <row r="39" ht="38.25">
      <c r="A39" s="87"/>
      <c r="B39" s="112" t="s">
        <v>18</v>
      </c>
      <c r="C39" s="53" t="s">
        <v>173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7"/>
    </row>
    <row r="40" ht="15.75" customHeight="1">
      <c r="A40" s="34" t="s">
        <v>41</v>
      </c>
      <c r="B40" s="10"/>
      <c r="C40" s="88"/>
      <c r="D40" s="89">
        <f t="shared" ref="D40:H40" si="36">AVERAGE(D37:D39)</f>
        <v>0</v>
      </c>
      <c r="E40" s="89">
        <f t="shared" si="36"/>
        <v>0</v>
      </c>
      <c r="F40" s="89">
        <f t="shared" si="36"/>
        <v>0</v>
      </c>
      <c r="G40" s="89">
        <f t="shared" si="36"/>
        <v>0</v>
      </c>
      <c r="H40" s="89">
        <f t="shared" si="36"/>
        <v>0</v>
      </c>
      <c r="I40" s="90"/>
    </row>
    <row r="41" ht="25.5">
      <c r="A41" s="67" t="s">
        <v>70</v>
      </c>
      <c r="B41" s="110" t="s">
        <v>15</v>
      </c>
      <c r="C41" s="16" t="s">
        <v>157</v>
      </c>
      <c r="D41" s="91">
        <v>0</v>
      </c>
      <c r="E41" s="91">
        <v>0</v>
      </c>
      <c r="F41" s="91">
        <v>0</v>
      </c>
      <c r="G41" s="91">
        <v>0</v>
      </c>
      <c r="H41" s="91">
        <v>0</v>
      </c>
      <c r="I41" s="79"/>
    </row>
    <row r="42" ht="25.5">
      <c r="A42" s="82"/>
      <c r="B42" s="83"/>
      <c r="C42" s="21" t="s">
        <v>158</v>
      </c>
      <c r="D42" s="95">
        <v>0</v>
      </c>
      <c r="E42" s="95">
        <v>0</v>
      </c>
      <c r="F42" s="95">
        <v>0</v>
      </c>
      <c r="G42" s="95">
        <v>0</v>
      </c>
      <c r="H42" s="95">
        <v>0</v>
      </c>
      <c r="I42" s="84"/>
    </row>
    <row r="43" ht="25.5">
      <c r="A43" s="82"/>
      <c r="B43" s="110" t="s">
        <v>18</v>
      </c>
      <c r="C43" s="24" t="s">
        <v>174</v>
      </c>
      <c r="D43" s="95">
        <v>0</v>
      </c>
      <c r="E43" s="95">
        <v>0</v>
      </c>
      <c r="F43" s="95">
        <v>0</v>
      </c>
      <c r="G43" s="95">
        <v>0</v>
      </c>
      <c r="H43" s="95">
        <v>0</v>
      </c>
      <c r="I43" s="84"/>
    </row>
    <row r="44" ht="38.25">
      <c r="A44" s="82"/>
      <c r="B44" s="83"/>
      <c r="C44" s="114" t="s">
        <v>175</v>
      </c>
      <c r="D44" s="94">
        <v>0</v>
      </c>
      <c r="E44" s="94">
        <v>0</v>
      </c>
      <c r="F44" s="94">
        <v>0</v>
      </c>
      <c r="G44" s="94">
        <v>0</v>
      </c>
      <c r="H44" s="94">
        <v>0</v>
      </c>
      <c r="I44" s="86"/>
    </row>
    <row r="45" ht="15.75" customHeight="1">
      <c r="A45" s="115" t="s">
        <v>41</v>
      </c>
      <c r="B45" s="116"/>
      <c r="C45" s="117"/>
      <c r="D45" s="118">
        <f t="shared" ref="D45:H45" si="37">AVERAGE(D41:D44)</f>
        <v>0</v>
      </c>
      <c r="E45" s="100">
        <f t="shared" si="37"/>
        <v>0</v>
      </c>
      <c r="F45" s="100">
        <f t="shared" si="37"/>
        <v>0</v>
      </c>
      <c r="G45" s="100">
        <f t="shared" si="37"/>
        <v>0</v>
      </c>
      <c r="H45" s="100">
        <f t="shared" si="37"/>
        <v>0</v>
      </c>
      <c r="I45" s="101"/>
    </row>
    <row r="46" ht="15.75" customHeight="1">
      <c r="A46" s="74"/>
      <c r="B46" s="61"/>
      <c r="C46" s="61"/>
      <c r="D46" s="75"/>
      <c r="E46" s="75"/>
      <c r="F46" s="75"/>
      <c r="G46" s="75"/>
      <c r="H46" s="62"/>
    </row>
    <row r="47" ht="15.75" customHeight="1">
      <c r="A47" s="74"/>
      <c r="B47" s="76"/>
    </row>
    <row r="48" ht="15.75" customHeight="1">
      <c r="A48" s="74"/>
      <c r="B48" s="61"/>
    </row>
    <row r="49" ht="15.75" customHeight="1">
      <c r="A49" s="74"/>
      <c r="B49" s="61"/>
    </row>
    <row r="50" ht="15.75" customHeight="1">
      <c r="A50" s="74"/>
      <c r="B50" s="61"/>
    </row>
    <row r="51" ht="15.75" customHeight="1">
      <c r="A51" s="74"/>
      <c r="B51" s="61"/>
    </row>
    <row r="52" ht="15.75" customHeight="1">
      <c r="A52" s="74"/>
      <c r="B52" s="61"/>
    </row>
    <row r="53" ht="15.75" customHeight="1">
      <c r="A53" s="74"/>
      <c r="B53" s="61"/>
    </row>
    <row r="54" ht="15.75" customHeight="1">
      <c r="A54" s="74"/>
      <c r="B54" s="61"/>
    </row>
    <row r="55" ht="15.75" customHeight="1">
      <c r="A55" s="74"/>
      <c r="B55" s="61"/>
      <c r="C55" s="61"/>
      <c r="H55" s="62"/>
    </row>
    <row r="56" ht="15.75" customHeight="1">
      <c r="A56" s="74"/>
      <c r="B56" s="61"/>
      <c r="C56" s="61"/>
      <c r="H56" s="62"/>
    </row>
    <row r="57" ht="15.75" customHeight="1">
      <c r="A57" s="74"/>
      <c r="B57" s="61"/>
      <c r="C57" s="61"/>
      <c r="H57" s="62"/>
    </row>
    <row r="58" ht="15.75" customHeight="1">
      <c r="A58" s="74"/>
      <c r="B58" s="61"/>
      <c r="C58" s="61"/>
      <c r="H58" s="62"/>
    </row>
    <row r="59" ht="15.75" customHeight="1">
      <c r="A59" s="74"/>
      <c r="B59" s="61"/>
      <c r="C59" s="61"/>
      <c r="H59" s="62"/>
    </row>
    <row r="60" ht="15.75" customHeight="1">
      <c r="A60" s="74"/>
      <c r="B60" s="61"/>
      <c r="C60" s="61"/>
      <c r="H60" s="62"/>
    </row>
    <row r="61" ht="15.75" customHeight="1">
      <c r="A61" s="74"/>
      <c r="B61" s="61"/>
      <c r="C61" s="61"/>
      <c r="H61" s="62"/>
    </row>
    <row r="62" ht="15.75" customHeight="1">
      <c r="A62" s="74"/>
      <c r="B62" s="61"/>
      <c r="C62" s="61"/>
      <c r="H62" s="62"/>
    </row>
    <row r="63" ht="15.75" customHeight="1">
      <c r="A63" s="74"/>
      <c r="B63" s="61"/>
      <c r="C63" s="61"/>
      <c r="H63" s="62"/>
    </row>
    <row r="64" ht="15.75" customHeight="1">
      <c r="A64" s="74"/>
      <c r="B64" s="61"/>
      <c r="C64" s="61"/>
      <c r="H64" s="62"/>
    </row>
    <row r="65" ht="15.75" customHeight="1">
      <c r="A65" s="74"/>
      <c r="B65" s="61"/>
      <c r="C65" s="61"/>
      <c r="H65" s="62"/>
    </row>
    <row r="66" ht="15.75" customHeight="1">
      <c r="A66" s="74"/>
      <c r="B66" s="61"/>
      <c r="C66" s="61"/>
      <c r="H66" s="62"/>
    </row>
    <row r="67" ht="15.75" customHeight="1">
      <c r="A67" s="74"/>
      <c r="B67" s="61"/>
      <c r="C67" s="61"/>
      <c r="H67" s="62"/>
    </row>
    <row r="68" ht="15.75" customHeight="1">
      <c r="A68" s="74"/>
      <c r="B68" s="61"/>
      <c r="C68" s="61"/>
      <c r="H68" s="62"/>
    </row>
    <row r="69" ht="15.75" customHeight="1">
      <c r="A69" s="74"/>
      <c r="B69" s="61"/>
      <c r="C69" s="61"/>
      <c r="H69" s="62"/>
    </row>
    <row r="70" ht="15.75" customHeight="1">
      <c r="A70" s="74"/>
      <c r="B70" s="61"/>
      <c r="C70" s="61"/>
      <c r="H70" s="62"/>
    </row>
    <row r="71" ht="15.75" customHeight="1">
      <c r="A71" s="74"/>
      <c r="B71" s="61"/>
      <c r="C71" s="61"/>
      <c r="H71" s="62"/>
    </row>
    <row r="72" ht="15.75" customHeight="1">
      <c r="A72" s="74"/>
      <c r="B72" s="61"/>
      <c r="C72" s="61"/>
      <c r="H72" s="62"/>
    </row>
    <row r="73" ht="15.75" customHeight="1">
      <c r="A73" s="74"/>
      <c r="B73" s="61"/>
      <c r="C73" s="61"/>
      <c r="H73" s="62"/>
    </row>
    <row r="74" ht="15.75" customHeight="1">
      <c r="A74" s="74"/>
      <c r="B74" s="61"/>
      <c r="C74" s="61"/>
      <c r="H74" s="62"/>
    </row>
    <row r="75" ht="15.75" customHeight="1">
      <c r="A75" s="74"/>
      <c r="B75" s="61"/>
      <c r="C75" s="61"/>
      <c r="H75" s="62"/>
    </row>
    <row r="76" ht="15.75" customHeight="1">
      <c r="A76" s="74"/>
      <c r="B76" s="61"/>
      <c r="C76" s="61"/>
      <c r="H76" s="62"/>
    </row>
    <row r="77" ht="15.75" customHeight="1">
      <c r="A77" s="74"/>
      <c r="B77" s="61"/>
      <c r="C77" s="61"/>
      <c r="H77" s="62"/>
    </row>
    <row r="78" ht="15.75" customHeight="1">
      <c r="A78" s="74"/>
      <c r="B78" s="61"/>
      <c r="C78" s="61"/>
      <c r="H78" s="62"/>
    </row>
    <row r="79" ht="15.75" customHeight="1">
      <c r="A79" s="74"/>
      <c r="B79" s="61"/>
      <c r="C79" s="61"/>
      <c r="H79" s="62"/>
    </row>
    <row r="80" ht="15.75" customHeight="1">
      <c r="A80" s="74"/>
      <c r="B80" s="61"/>
      <c r="C80" s="61"/>
      <c r="H80" s="62"/>
    </row>
    <row r="81" ht="15.75" customHeight="1">
      <c r="A81" s="74"/>
      <c r="B81" s="61"/>
      <c r="C81" s="61"/>
      <c r="H81" s="62"/>
    </row>
    <row r="82" ht="15.75" customHeight="1">
      <c r="A82" s="74"/>
      <c r="B82" s="61"/>
      <c r="C82" s="61"/>
      <c r="H82" s="62"/>
    </row>
    <row r="83" ht="15.75" customHeight="1">
      <c r="A83" s="74"/>
      <c r="B83" s="61"/>
      <c r="C83" s="61"/>
      <c r="H83" s="62"/>
    </row>
    <row r="84" ht="15.75" customHeight="1">
      <c r="A84" s="74"/>
      <c r="B84" s="61"/>
      <c r="C84" s="61"/>
      <c r="H84" s="62"/>
    </row>
    <row r="85" ht="15.75" customHeight="1">
      <c r="A85" s="74"/>
      <c r="B85" s="61"/>
      <c r="C85" s="61"/>
      <c r="H85" s="62"/>
    </row>
    <row r="86" ht="15.75" customHeight="1">
      <c r="A86" s="74"/>
      <c r="B86" s="61"/>
      <c r="C86" s="61"/>
      <c r="H86" s="62"/>
    </row>
    <row r="87" ht="15.75" customHeight="1">
      <c r="A87" s="74"/>
      <c r="B87" s="61"/>
      <c r="C87" s="61"/>
      <c r="H87" s="62"/>
    </row>
    <row r="88" ht="15.75" customHeight="1">
      <c r="A88" s="74"/>
      <c r="B88" s="61"/>
      <c r="C88" s="61"/>
      <c r="H88" s="62"/>
    </row>
    <row r="89" ht="15.75" customHeight="1">
      <c r="A89" s="74"/>
      <c r="B89" s="61"/>
      <c r="C89" s="61"/>
      <c r="H89" s="62"/>
    </row>
    <row r="90" ht="15.75" customHeight="1">
      <c r="A90" s="74"/>
      <c r="B90" s="61"/>
      <c r="C90" s="61"/>
      <c r="H90" s="62"/>
    </row>
    <row r="91" ht="15.75" customHeight="1">
      <c r="A91" s="74"/>
      <c r="B91" s="61"/>
      <c r="C91" s="61"/>
      <c r="H91" s="62"/>
    </row>
    <row r="92" ht="15.75" customHeight="1">
      <c r="A92" s="74"/>
      <c r="B92" s="61"/>
      <c r="C92" s="61"/>
      <c r="H92" s="62"/>
    </row>
    <row r="93" ht="15.75" customHeight="1">
      <c r="A93" s="74"/>
      <c r="B93" s="61"/>
      <c r="C93" s="61"/>
      <c r="H93" s="62"/>
    </row>
    <row r="94" ht="15.75" customHeight="1">
      <c r="A94" s="74"/>
      <c r="B94" s="61"/>
      <c r="C94" s="61"/>
      <c r="H94" s="62"/>
    </row>
    <row r="95" ht="15.75" customHeight="1">
      <c r="A95" s="74"/>
      <c r="B95" s="61"/>
      <c r="C95" s="61"/>
      <c r="H95" s="62"/>
    </row>
    <row r="96" ht="15.75" customHeight="1">
      <c r="A96" s="74"/>
      <c r="B96" s="61"/>
      <c r="C96" s="61"/>
      <c r="H96" s="62"/>
    </row>
    <row r="97" ht="15.75" customHeight="1">
      <c r="A97" s="74"/>
      <c r="B97" s="61"/>
      <c r="C97" s="61"/>
      <c r="H97" s="62"/>
    </row>
    <row r="98" ht="15.75" customHeight="1">
      <c r="A98" s="74"/>
      <c r="B98" s="61"/>
      <c r="C98" s="61"/>
      <c r="H98" s="62"/>
    </row>
    <row r="99" ht="15.75" customHeight="1">
      <c r="A99" s="74"/>
      <c r="B99" s="61"/>
      <c r="C99" s="61"/>
      <c r="H99" s="62"/>
    </row>
    <row r="100" ht="15.75" customHeight="1">
      <c r="A100" s="74"/>
      <c r="B100" s="61"/>
      <c r="C100" s="61"/>
      <c r="H100" s="62"/>
    </row>
    <row r="101" ht="15.75" customHeight="1">
      <c r="A101" s="74"/>
      <c r="B101" s="61"/>
      <c r="C101" s="61"/>
      <c r="H101" s="62"/>
    </row>
    <row r="102" ht="15.75" customHeight="1">
      <c r="A102" s="74"/>
      <c r="B102" s="61"/>
      <c r="C102" s="61"/>
      <c r="H102" s="62"/>
    </row>
    <row r="103" ht="15.75" customHeight="1">
      <c r="A103" s="74"/>
      <c r="B103" s="61"/>
      <c r="C103" s="61"/>
      <c r="H103" s="62"/>
    </row>
    <row r="104" ht="15.75" customHeight="1">
      <c r="A104" s="74"/>
      <c r="B104" s="61"/>
      <c r="C104" s="61"/>
      <c r="H104" s="62"/>
    </row>
    <row r="105" ht="15.75" customHeight="1">
      <c r="A105" s="74"/>
      <c r="B105" s="61"/>
      <c r="C105" s="61"/>
      <c r="H105" s="62"/>
    </row>
    <row r="106" ht="15.75" customHeight="1">
      <c r="A106" s="74"/>
      <c r="B106" s="61"/>
      <c r="C106" s="61"/>
      <c r="H106" s="62"/>
    </row>
    <row r="107" ht="15.75" customHeight="1">
      <c r="A107" s="74"/>
      <c r="B107" s="61"/>
      <c r="C107" s="61"/>
      <c r="H107" s="62"/>
    </row>
    <row r="108" ht="15.75" customHeight="1">
      <c r="A108" s="74"/>
      <c r="B108" s="61"/>
      <c r="C108" s="61"/>
      <c r="H108" s="62"/>
    </row>
    <row r="109" ht="15.75" customHeight="1">
      <c r="A109" s="74"/>
      <c r="B109" s="61"/>
      <c r="C109" s="61"/>
      <c r="H109" s="62"/>
    </row>
    <row r="110" ht="15.75" customHeight="1">
      <c r="A110" s="74"/>
      <c r="B110" s="61"/>
      <c r="C110" s="61"/>
      <c r="H110" s="62"/>
    </row>
    <row r="111" ht="15.75" customHeight="1">
      <c r="A111" s="74"/>
      <c r="B111" s="61"/>
      <c r="C111" s="61"/>
      <c r="H111" s="62"/>
    </row>
    <row r="112" ht="15.75" customHeight="1">
      <c r="A112" s="74"/>
      <c r="B112" s="61"/>
      <c r="C112" s="61"/>
      <c r="H112" s="62"/>
    </row>
    <row r="113" ht="15.75" customHeight="1">
      <c r="A113" s="74"/>
      <c r="B113" s="61"/>
      <c r="C113" s="61"/>
      <c r="H113" s="62"/>
    </row>
    <row r="114" ht="15.75" customHeight="1">
      <c r="A114" s="74"/>
      <c r="B114" s="61"/>
      <c r="C114" s="61"/>
      <c r="H114" s="62"/>
    </row>
    <row r="115" ht="15.75" customHeight="1">
      <c r="A115" s="74"/>
      <c r="B115" s="61"/>
      <c r="C115" s="61"/>
      <c r="H115" s="62"/>
    </row>
    <row r="116" ht="15.75" customHeight="1">
      <c r="A116" s="74"/>
      <c r="B116" s="61"/>
      <c r="C116" s="61"/>
      <c r="H116" s="62"/>
    </row>
    <row r="117" ht="15.75" customHeight="1">
      <c r="A117" s="74"/>
      <c r="B117" s="61"/>
      <c r="C117" s="61"/>
      <c r="H117" s="62"/>
    </row>
    <row r="118" ht="15.75" customHeight="1">
      <c r="A118" s="74"/>
      <c r="B118" s="61"/>
      <c r="C118" s="61"/>
      <c r="H118" s="62"/>
    </row>
    <row r="119" ht="15.75" customHeight="1">
      <c r="A119" s="74"/>
      <c r="B119" s="61"/>
      <c r="C119" s="61"/>
      <c r="H119" s="62"/>
    </row>
    <row r="120" ht="15.75" customHeight="1">
      <c r="A120" s="74"/>
      <c r="B120" s="61"/>
      <c r="C120" s="61"/>
      <c r="H120" s="62"/>
    </row>
    <row r="121" ht="15.75" customHeight="1">
      <c r="A121" s="74"/>
      <c r="B121" s="61"/>
      <c r="C121" s="61"/>
      <c r="H121" s="62"/>
    </row>
    <row r="122" ht="15.75" customHeight="1">
      <c r="A122" s="74"/>
      <c r="B122" s="61"/>
      <c r="C122" s="61"/>
      <c r="H122" s="62"/>
    </row>
    <row r="123" ht="15.75" customHeight="1">
      <c r="A123" s="74"/>
      <c r="B123" s="61"/>
      <c r="C123" s="61"/>
      <c r="H123" s="62"/>
    </row>
    <row r="124" ht="15.75" customHeight="1">
      <c r="A124" s="74"/>
      <c r="B124" s="61"/>
      <c r="C124" s="61"/>
      <c r="H124" s="62"/>
    </row>
    <row r="125" ht="15.75" customHeight="1">
      <c r="A125" s="74"/>
      <c r="B125" s="61"/>
      <c r="C125" s="61"/>
      <c r="H125" s="62"/>
    </row>
    <row r="126" ht="15.75" customHeight="1">
      <c r="A126" s="74"/>
      <c r="B126" s="61"/>
      <c r="C126" s="61"/>
      <c r="H126" s="62"/>
    </row>
    <row r="127" ht="15.75" customHeight="1">
      <c r="A127" s="74"/>
      <c r="B127" s="61"/>
      <c r="C127" s="61"/>
      <c r="H127" s="62"/>
    </row>
    <row r="128" ht="15.75" customHeight="1">
      <c r="A128" s="74"/>
      <c r="B128" s="61"/>
      <c r="C128" s="61"/>
      <c r="H128" s="62"/>
    </row>
    <row r="129" ht="15.75" customHeight="1">
      <c r="A129" s="74"/>
      <c r="B129" s="61"/>
      <c r="C129" s="61"/>
      <c r="H129" s="62"/>
    </row>
    <row r="130" ht="15.75" customHeight="1">
      <c r="A130" s="74"/>
      <c r="B130" s="61"/>
      <c r="C130" s="61"/>
      <c r="H130" s="62"/>
    </row>
    <row r="131" ht="15.75" customHeight="1">
      <c r="A131" s="74"/>
      <c r="B131" s="61"/>
      <c r="C131" s="61"/>
      <c r="H131" s="62"/>
    </row>
    <row r="132" ht="15.75" customHeight="1">
      <c r="A132" s="74"/>
      <c r="B132" s="61"/>
      <c r="C132" s="61"/>
      <c r="H132" s="62"/>
    </row>
    <row r="133" ht="15.75" customHeight="1">
      <c r="A133" s="74"/>
      <c r="B133" s="61"/>
      <c r="C133" s="61"/>
      <c r="H133" s="62"/>
    </row>
    <row r="134" ht="15.75" customHeight="1">
      <c r="A134" s="74"/>
      <c r="B134" s="61"/>
      <c r="C134" s="61"/>
      <c r="H134" s="62"/>
    </row>
    <row r="135" ht="15.75" customHeight="1">
      <c r="A135" s="74"/>
      <c r="B135" s="61"/>
      <c r="C135" s="61"/>
      <c r="H135" s="62"/>
    </row>
    <row r="136" ht="15.75" customHeight="1">
      <c r="A136" s="74"/>
      <c r="B136" s="61"/>
      <c r="C136" s="61"/>
      <c r="H136" s="62"/>
    </row>
    <row r="137" ht="15.75" customHeight="1">
      <c r="A137" s="74"/>
      <c r="B137" s="61"/>
      <c r="C137" s="61"/>
      <c r="H137" s="62"/>
    </row>
    <row r="138" ht="15.75" customHeight="1">
      <c r="A138" s="74"/>
      <c r="B138" s="61"/>
      <c r="C138" s="61"/>
      <c r="H138" s="62"/>
    </row>
    <row r="139" ht="15.75" customHeight="1">
      <c r="A139" s="74"/>
      <c r="B139" s="61"/>
      <c r="C139" s="61"/>
      <c r="H139" s="62"/>
    </row>
    <row r="140" ht="15.75" customHeight="1">
      <c r="A140" s="74"/>
      <c r="B140" s="61"/>
      <c r="C140" s="61"/>
      <c r="H140" s="62"/>
    </row>
    <row r="141" ht="15.75" customHeight="1">
      <c r="A141" s="74"/>
      <c r="B141" s="61"/>
      <c r="C141" s="61"/>
      <c r="H141" s="62"/>
    </row>
    <row r="142" ht="15.75" customHeight="1">
      <c r="A142" s="74"/>
      <c r="B142" s="61"/>
      <c r="C142" s="61"/>
      <c r="H142" s="62"/>
    </row>
    <row r="143" ht="15.75" customHeight="1">
      <c r="A143" s="74"/>
      <c r="B143" s="61"/>
      <c r="C143" s="61"/>
      <c r="H143" s="62"/>
    </row>
    <row r="144" ht="15.75" customHeight="1">
      <c r="A144" s="74"/>
      <c r="B144" s="61"/>
      <c r="C144" s="61"/>
      <c r="H144" s="62"/>
    </row>
    <row r="145" ht="15.75" customHeight="1">
      <c r="A145" s="74"/>
      <c r="B145" s="61"/>
      <c r="C145" s="61"/>
      <c r="H145" s="62"/>
    </row>
    <row r="146" ht="15.75" customHeight="1">
      <c r="A146" s="74"/>
      <c r="B146" s="61"/>
      <c r="C146" s="61"/>
      <c r="H146" s="62"/>
    </row>
    <row r="147" ht="15.75" customHeight="1">
      <c r="A147" s="74"/>
      <c r="B147" s="61"/>
      <c r="C147" s="61"/>
      <c r="H147" s="62"/>
    </row>
    <row r="148" ht="15.75" customHeight="1">
      <c r="A148" s="74"/>
      <c r="B148" s="61"/>
      <c r="C148" s="61"/>
      <c r="H148" s="62"/>
    </row>
    <row r="149" ht="15.75" customHeight="1">
      <c r="A149" s="74"/>
      <c r="B149" s="61"/>
      <c r="C149" s="61"/>
      <c r="H149" s="62"/>
    </row>
    <row r="150" ht="15.75" customHeight="1">
      <c r="A150" s="74"/>
      <c r="B150" s="61"/>
      <c r="C150" s="61"/>
      <c r="H150" s="62"/>
    </row>
    <row r="151" ht="15.75" customHeight="1">
      <c r="A151" s="74"/>
      <c r="B151" s="61"/>
      <c r="C151" s="61"/>
      <c r="H151" s="62"/>
    </row>
    <row r="152" ht="15.75" customHeight="1">
      <c r="A152" s="74"/>
      <c r="B152" s="61"/>
      <c r="C152" s="61"/>
      <c r="H152" s="62"/>
    </row>
    <row r="153" ht="15.75" customHeight="1">
      <c r="A153" s="74"/>
      <c r="B153" s="61"/>
      <c r="C153" s="61"/>
      <c r="H153" s="62"/>
    </row>
    <row r="154" ht="15.75" customHeight="1">
      <c r="A154" s="74"/>
      <c r="B154" s="61"/>
      <c r="C154" s="61"/>
      <c r="H154" s="62"/>
    </row>
    <row r="155" ht="15.75" customHeight="1">
      <c r="A155" s="74"/>
      <c r="B155" s="61"/>
      <c r="C155" s="61"/>
      <c r="H155" s="62"/>
    </row>
    <row r="156" ht="15.75" customHeight="1">
      <c r="A156" s="74"/>
      <c r="B156" s="61"/>
      <c r="C156" s="61"/>
      <c r="H156" s="62"/>
    </row>
    <row r="157" ht="15.75" customHeight="1">
      <c r="A157" s="74"/>
      <c r="B157" s="61"/>
      <c r="C157" s="61"/>
      <c r="H157" s="62"/>
    </row>
    <row r="158" ht="15.75" customHeight="1">
      <c r="A158" s="74"/>
      <c r="B158" s="61"/>
      <c r="C158" s="61"/>
      <c r="H158" s="62"/>
    </row>
    <row r="159" ht="15.75" customHeight="1">
      <c r="A159" s="74"/>
      <c r="B159" s="61"/>
      <c r="C159" s="61"/>
      <c r="H159" s="62"/>
    </row>
    <row r="160" ht="15.75" customHeight="1">
      <c r="A160" s="74"/>
      <c r="B160" s="61"/>
      <c r="C160" s="61"/>
      <c r="H160" s="62"/>
    </row>
    <row r="161" ht="15.75" customHeight="1">
      <c r="A161" s="74"/>
      <c r="B161" s="61"/>
      <c r="C161" s="61"/>
      <c r="H161" s="62"/>
    </row>
    <row r="162" ht="15.75" customHeight="1">
      <c r="A162" s="74"/>
      <c r="B162" s="61"/>
      <c r="C162" s="61"/>
      <c r="H162" s="62"/>
    </row>
    <row r="163" ht="15.75" customHeight="1">
      <c r="A163" s="74"/>
      <c r="B163" s="61"/>
      <c r="C163" s="61"/>
      <c r="H163" s="62"/>
    </row>
    <row r="164" ht="15.75" customHeight="1">
      <c r="A164" s="74"/>
      <c r="B164" s="61"/>
      <c r="C164" s="61"/>
      <c r="H164" s="62"/>
    </row>
    <row r="165" ht="15.75" customHeight="1">
      <c r="A165" s="74"/>
      <c r="B165" s="61"/>
      <c r="C165" s="61"/>
      <c r="H165" s="62"/>
    </row>
    <row r="166" ht="15.75" customHeight="1">
      <c r="A166" s="74"/>
      <c r="B166" s="61"/>
      <c r="C166" s="61"/>
      <c r="H166" s="62"/>
    </row>
    <row r="167" ht="15.75" customHeight="1">
      <c r="A167" s="74"/>
      <c r="B167" s="61"/>
      <c r="C167" s="61"/>
      <c r="H167" s="62"/>
    </row>
    <row r="168" ht="15.75" customHeight="1">
      <c r="A168" s="74"/>
      <c r="B168" s="61"/>
      <c r="C168" s="61"/>
      <c r="H168" s="62"/>
    </row>
    <row r="169" ht="15.75" customHeight="1">
      <c r="A169" s="74"/>
      <c r="B169" s="61"/>
      <c r="C169" s="61"/>
      <c r="H169" s="62"/>
    </row>
    <row r="170" ht="15.75" customHeight="1">
      <c r="A170" s="74"/>
      <c r="B170" s="61"/>
      <c r="C170" s="61"/>
      <c r="H170" s="62"/>
    </row>
    <row r="171" ht="15.75" customHeight="1">
      <c r="A171" s="74"/>
      <c r="B171" s="61"/>
      <c r="C171" s="61"/>
      <c r="H171" s="62"/>
    </row>
    <row r="172" ht="15.75" customHeight="1">
      <c r="A172" s="74"/>
      <c r="B172" s="61"/>
      <c r="C172" s="61"/>
      <c r="H172" s="62"/>
    </row>
    <row r="173" ht="15.75" customHeight="1">
      <c r="A173" s="74"/>
      <c r="B173" s="61"/>
      <c r="C173" s="61"/>
      <c r="H173" s="62"/>
    </row>
    <row r="174" ht="15.75" customHeight="1">
      <c r="A174" s="74"/>
      <c r="B174" s="61"/>
      <c r="C174" s="61"/>
      <c r="H174" s="62"/>
    </row>
    <row r="175" ht="15.75" customHeight="1">
      <c r="A175" s="74"/>
      <c r="B175" s="61"/>
      <c r="C175" s="61"/>
      <c r="H175" s="62"/>
    </row>
    <row r="176" ht="15.75" customHeight="1">
      <c r="A176" s="74"/>
      <c r="B176" s="61"/>
      <c r="C176" s="61"/>
      <c r="H176" s="62"/>
    </row>
    <row r="177" ht="15.75" customHeight="1">
      <c r="A177" s="74"/>
      <c r="B177" s="61"/>
      <c r="C177" s="61"/>
      <c r="H177" s="62"/>
    </row>
    <row r="178" ht="15.75" customHeight="1">
      <c r="A178" s="74"/>
      <c r="B178" s="61"/>
      <c r="C178" s="61"/>
      <c r="H178" s="62"/>
    </row>
    <row r="179" ht="15.75" customHeight="1">
      <c r="A179" s="74"/>
      <c r="B179" s="61"/>
      <c r="C179" s="61"/>
      <c r="H179" s="62"/>
    </row>
    <row r="180" ht="15.75" customHeight="1">
      <c r="A180" s="74"/>
      <c r="B180" s="61"/>
      <c r="C180" s="61"/>
      <c r="H180" s="62"/>
    </row>
    <row r="181" ht="15.75" customHeight="1">
      <c r="A181" s="74"/>
      <c r="B181" s="61"/>
      <c r="C181" s="61"/>
      <c r="H181" s="62"/>
    </row>
    <row r="182" ht="15.75" customHeight="1">
      <c r="A182" s="74"/>
      <c r="B182" s="61"/>
      <c r="C182" s="61"/>
      <c r="H182" s="62"/>
    </row>
    <row r="183" ht="15.75" customHeight="1">
      <c r="A183" s="74"/>
      <c r="B183" s="61"/>
      <c r="C183" s="61"/>
      <c r="H183" s="62"/>
    </row>
    <row r="184" ht="15.75" customHeight="1">
      <c r="A184" s="74"/>
      <c r="B184" s="61"/>
      <c r="C184" s="61"/>
      <c r="H184" s="62"/>
    </row>
    <row r="185" ht="15.75" customHeight="1">
      <c r="A185" s="74"/>
      <c r="B185" s="61"/>
      <c r="C185" s="61"/>
      <c r="H185" s="62"/>
    </row>
    <row r="186" ht="15.75" customHeight="1">
      <c r="A186" s="74"/>
      <c r="B186" s="61"/>
      <c r="C186" s="61"/>
      <c r="H186" s="62"/>
    </row>
    <row r="187" ht="15.75" customHeight="1">
      <c r="A187" s="74"/>
      <c r="B187" s="61"/>
      <c r="C187" s="61"/>
      <c r="H187" s="62"/>
    </row>
    <row r="188" ht="15.75" customHeight="1">
      <c r="A188" s="74"/>
      <c r="B188" s="61"/>
      <c r="C188" s="61"/>
      <c r="H188" s="62"/>
    </row>
    <row r="189" ht="15.75" customHeight="1">
      <c r="A189" s="74"/>
      <c r="B189" s="61"/>
      <c r="C189" s="61"/>
      <c r="H189" s="62"/>
    </row>
    <row r="190" ht="15.75" customHeight="1">
      <c r="A190" s="74"/>
      <c r="B190" s="61"/>
      <c r="C190" s="61"/>
      <c r="H190" s="62"/>
    </row>
    <row r="191" ht="15.75" customHeight="1">
      <c r="A191" s="74"/>
      <c r="B191" s="61"/>
      <c r="C191" s="61"/>
      <c r="H191" s="62"/>
    </row>
    <row r="192" ht="15.75" customHeight="1">
      <c r="A192" s="74"/>
      <c r="B192" s="61"/>
      <c r="C192" s="61"/>
      <c r="H192" s="62"/>
    </row>
    <row r="193" ht="15.75" customHeight="1">
      <c r="A193" s="74"/>
      <c r="B193" s="61"/>
      <c r="C193" s="61"/>
      <c r="H193" s="62"/>
    </row>
    <row r="194" ht="15.75" customHeight="1">
      <c r="A194" s="74"/>
      <c r="B194" s="61"/>
      <c r="C194" s="61"/>
      <c r="H194" s="62"/>
    </row>
    <row r="195" ht="15.75" customHeight="1">
      <c r="A195" s="74"/>
      <c r="B195" s="61"/>
      <c r="C195" s="61"/>
      <c r="H195" s="62"/>
    </row>
    <row r="196" ht="15.75" customHeight="1">
      <c r="A196" s="74"/>
      <c r="B196" s="61"/>
      <c r="C196" s="61"/>
      <c r="H196" s="62"/>
    </row>
    <row r="197" ht="15.75" customHeight="1">
      <c r="A197" s="74"/>
      <c r="B197" s="61"/>
      <c r="C197" s="61"/>
      <c r="H197" s="62"/>
    </row>
    <row r="198" ht="15.75" customHeight="1">
      <c r="A198" s="74"/>
      <c r="B198" s="61"/>
      <c r="C198" s="61"/>
      <c r="H198" s="62"/>
    </row>
    <row r="199" ht="15.75" customHeight="1">
      <c r="A199" s="74"/>
      <c r="B199" s="61"/>
      <c r="C199" s="61"/>
      <c r="H199" s="62"/>
    </row>
    <row r="200" ht="15.75" customHeight="1">
      <c r="A200" s="74"/>
      <c r="B200" s="61"/>
      <c r="C200" s="61"/>
      <c r="H200" s="62"/>
    </row>
    <row r="201" ht="15.75" customHeight="1">
      <c r="A201" s="74"/>
      <c r="B201" s="61"/>
      <c r="C201" s="61"/>
      <c r="H201" s="62"/>
    </row>
    <row r="202" ht="15.75" customHeight="1">
      <c r="A202" s="74"/>
      <c r="B202" s="61"/>
      <c r="C202" s="61"/>
      <c r="H202" s="62"/>
    </row>
    <row r="203" ht="15.75" customHeight="1">
      <c r="A203" s="74"/>
      <c r="B203" s="61"/>
      <c r="C203" s="61"/>
      <c r="H203" s="62"/>
    </row>
    <row r="204" ht="15.75" customHeight="1">
      <c r="A204" s="74"/>
      <c r="B204" s="61"/>
      <c r="C204" s="61"/>
      <c r="H204" s="62"/>
    </row>
    <row r="205" ht="15.75" customHeight="1">
      <c r="A205" s="74"/>
      <c r="B205" s="61"/>
      <c r="C205" s="61"/>
      <c r="H205" s="62"/>
    </row>
    <row r="206" ht="15.75" customHeight="1">
      <c r="A206" s="74"/>
      <c r="B206" s="61"/>
      <c r="C206" s="61"/>
      <c r="H206" s="62"/>
    </row>
    <row r="207" ht="15.75" customHeight="1">
      <c r="A207" s="74"/>
      <c r="B207" s="61"/>
      <c r="C207" s="61"/>
      <c r="H207" s="62"/>
    </row>
    <row r="208" ht="15.75" customHeight="1">
      <c r="A208" s="74"/>
      <c r="B208" s="61"/>
      <c r="C208" s="61"/>
      <c r="H208" s="62"/>
    </row>
    <row r="209" ht="15.75" customHeight="1">
      <c r="A209" s="74"/>
      <c r="B209" s="61"/>
      <c r="C209" s="61"/>
      <c r="H209" s="62"/>
    </row>
    <row r="210" ht="15.75" customHeight="1">
      <c r="A210" s="74"/>
      <c r="B210" s="61"/>
      <c r="C210" s="61"/>
      <c r="H210" s="62"/>
    </row>
    <row r="211" ht="15.75" customHeight="1">
      <c r="A211" s="74"/>
      <c r="B211" s="61"/>
      <c r="C211" s="61"/>
      <c r="H211" s="62"/>
    </row>
    <row r="212" ht="15.75" customHeight="1">
      <c r="A212" s="74"/>
      <c r="B212" s="61"/>
      <c r="C212" s="61"/>
      <c r="H212" s="62"/>
    </row>
    <row r="213" ht="15.75" customHeight="1">
      <c r="A213" s="74"/>
      <c r="B213" s="61"/>
      <c r="C213" s="61"/>
      <c r="H213" s="62"/>
    </row>
    <row r="214" ht="15.75" customHeight="1">
      <c r="A214" s="74"/>
      <c r="B214" s="61"/>
      <c r="C214" s="61"/>
      <c r="H214" s="62"/>
    </row>
    <row r="215" ht="15.75" customHeight="1">
      <c r="A215" s="74"/>
      <c r="B215" s="61"/>
      <c r="C215" s="61"/>
      <c r="H215" s="62"/>
    </row>
    <row r="216" ht="15.75" customHeight="1">
      <c r="A216" s="74"/>
      <c r="B216" s="61"/>
      <c r="C216" s="61"/>
      <c r="H216" s="62"/>
    </row>
    <row r="217" ht="15.75" customHeight="1">
      <c r="A217" s="74"/>
      <c r="B217" s="61"/>
      <c r="C217" s="61"/>
      <c r="H217" s="62"/>
    </row>
    <row r="218" ht="15.75" customHeight="1">
      <c r="A218" s="74"/>
      <c r="B218" s="61"/>
      <c r="C218" s="61"/>
      <c r="H218" s="62"/>
    </row>
    <row r="219" ht="15.75" customHeight="1">
      <c r="A219" s="74"/>
      <c r="B219" s="61"/>
      <c r="C219" s="61"/>
      <c r="H219" s="62"/>
    </row>
    <row r="220" ht="15.75" customHeight="1">
      <c r="A220" s="74"/>
      <c r="B220" s="61"/>
      <c r="C220" s="61"/>
      <c r="H220" s="62"/>
    </row>
    <row r="221" ht="15.75" customHeight="1">
      <c r="A221" s="74"/>
      <c r="B221" s="61"/>
      <c r="C221" s="61"/>
      <c r="H221" s="62"/>
    </row>
    <row r="222" ht="15.75" customHeight="1">
      <c r="A222" s="74"/>
      <c r="B222" s="61"/>
      <c r="C222" s="61"/>
      <c r="H222" s="62"/>
    </row>
    <row r="223" ht="15.75" customHeight="1">
      <c r="A223" s="74"/>
      <c r="B223" s="61"/>
      <c r="C223" s="61"/>
      <c r="H223" s="62"/>
    </row>
    <row r="224" ht="15.75" customHeight="1">
      <c r="A224" s="74"/>
      <c r="B224" s="61"/>
      <c r="C224" s="61"/>
      <c r="H224" s="62"/>
    </row>
    <row r="225" ht="15.75" customHeight="1">
      <c r="A225" s="74"/>
      <c r="B225" s="61"/>
      <c r="C225" s="61"/>
      <c r="H225" s="62"/>
    </row>
    <row r="226" ht="15.75" customHeight="1">
      <c r="A226" s="74"/>
      <c r="B226" s="61"/>
      <c r="C226" s="61"/>
      <c r="H226" s="62"/>
    </row>
    <row r="227" ht="15.75" customHeight="1">
      <c r="A227" s="74"/>
      <c r="B227" s="61"/>
      <c r="C227" s="61"/>
      <c r="H227" s="62"/>
    </row>
    <row r="228" ht="15.75" customHeight="1">
      <c r="A228" s="74"/>
      <c r="B228" s="61"/>
      <c r="C228" s="61"/>
      <c r="H228" s="62"/>
    </row>
    <row r="229" ht="15.75" customHeight="1">
      <c r="A229" s="74"/>
      <c r="B229" s="61"/>
      <c r="C229" s="61"/>
      <c r="H229" s="62"/>
    </row>
    <row r="230" ht="15.75" customHeight="1">
      <c r="A230" s="74"/>
      <c r="B230" s="61"/>
      <c r="C230" s="61"/>
      <c r="H230" s="62"/>
    </row>
    <row r="231" ht="15.75" customHeight="1">
      <c r="A231" s="74"/>
      <c r="B231" s="61"/>
      <c r="C231" s="61"/>
      <c r="H231" s="62"/>
    </row>
    <row r="232" ht="15.75" customHeight="1">
      <c r="A232" s="74"/>
      <c r="B232" s="61"/>
      <c r="C232" s="61"/>
      <c r="H232" s="62"/>
    </row>
    <row r="233" ht="15.75" customHeight="1">
      <c r="A233" s="74"/>
      <c r="B233" s="61"/>
      <c r="C233" s="61"/>
      <c r="H233" s="62"/>
    </row>
    <row r="234" ht="15.75" customHeight="1">
      <c r="A234" s="74"/>
      <c r="B234" s="61"/>
      <c r="C234" s="61"/>
      <c r="H234" s="62"/>
    </row>
    <row r="235" ht="15.75" customHeight="1">
      <c r="A235" s="74"/>
      <c r="B235" s="61"/>
      <c r="C235" s="61"/>
      <c r="H235" s="62"/>
    </row>
    <row r="236" ht="15.75" customHeight="1">
      <c r="A236" s="74"/>
      <c r="B236" s="61"/>
      <c r="C236" s="61"/>
      <c r="H236" s="62"/>
    </row>
    <row r="237" ht="15.75" customHeight="1">
      <c r="A237" s="74"/>
      <c r="B237" s="61"/>
      <c r="C237" s="61"/>
      <c r="H237" s="62"/>
    </row>
    <row r="238" ht="15.75" customHeight="1">
      <c r="A238" s="74"/>
      <c r="B238" s="61"/>
      <c r="C238" s="61"/>
      <c r="H238" s="62"/>
    </row>
    <row r="239" ht="15.75" customHeight="1">
      <c r="A239" s="74"/>
      <c r="B239" s="61"/>
      <c r="C239" s="61"/>
      <c r="H239" s="62"/>
    </row>
    <row r="240" ht="15.75" customHeight="1">
      <c r="A240" s="74"/>
      <c r="B240" s="61"/>
      <c r="C240" s="61"/>
      <c r="H240" s="62"/>
    </row>
    <row r="241" ht="15.75" customHeight="1">
      <c r="A241" s="74"/>
      <c r="B241" s="61"/>
      <c r="C241" s="61"/>
      <c r="H241" s="62"/>
    </row>
    <row r="242" ht="15.75" customHeight="1">
      <c r="A242" s="74"/>
      <c r="B242" s="61"/>
      <c r="C242" s="61"/>
      <c r="H242" s="62"/>
    </row>
    <row r="243" ht="15.75" customHeight="1">
      <c r="A243" s="74"/>
      <c r="B243" s="61"/>
      <c r="C243" s="61"/>
      <c r="H243" s="62"/>
    </row>
    <row r="244" ht="15.75" customHeight="1">
      <c r="A244" s="74"/>
      <c r="B244" s="61"/>
      <c r="C244" s="61"/>
      <c r="H244" s="62"/>
    </row>
    <row r="245" ht="15.75" customHeight="1">
      <c r="A245" s="74"/>
      <c r="B245" s="61"/>
      <c r="C245" s="61"/>
      <c r="H245" s="6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5">
    <mergeCell ref="A2:A9"/>
    <mergeCell ref="B2:B4"/>
    <mergeCell ref="B5:B9"/>
    <mergeCell ref="A10:C10"/>
    <mergeCell ref="A11:A20"/>
    <mergeCell ref="B11:B16"/>
    <mergeCell ref="B17:B20"/>
    <mergeCell ref="A21:C21"/>
    <mergeCell ref="A22:A27"/>
    <mergeCell ref="B22:B23"/>
    <mergeCell ref="B24:B27"/>
    <mergeCell ref="A28:C28"/>
    <mergeCell ref="A29:A30"/>
    <mergeCell ref="B29:B30"/>
    <mergeCell ref="A31:C31"/>
    <mergeCell ref="A32:A35"/>
    <mergeCell ref="B32:B34"/>
    <mergeCell ref="A36:C36"/>
    <mergeCell ref="A37:A39"/>
    <mergeCell ref="B37:B38"/>
    <mergeCell ref="A40:C40"/>
    <mergeCell ref="A41:A44"/>
    <mergeCell ref="B41:B42"/>
    <mergeCell ref="B43:B44"/>
    <mergeCell ref="A45:C4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7E001A-00C6-47BE-A1D1-009F00790079}">
            <xm:f>"D6"</xm:f>
            <x14:dxf>
              <fill>
                <patternFill patternType="solid">
                  <fgColor rgb="FFFF6D01"/>
                  <bgColor rgb="FFFF6D01"/>
                </patternFill>
              </fill>
            </x14:dxf>
          </x14:cfRule>
          <xm:sqref>D3:G3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B0040-00BD-4B3B-8C08-00EA00EB0092}" type="list" allowBlank="1" errorStyle="stop" imeMode="noControl" operator="between" showDropDown="0" showErrorMessage="0" showInputMessage="0">
          <x14:formula1>
            <xm:f>"0,1,2"</xm:f>
          </x14:formula1>
          <xm:sqref>H2:H9</xm:sqref>
        </x14:dataValidation>
        <x14:dataValidation xr:uid="{008E005C-00BB-4BB4-8397-00C100D00041}" type="list" allowBlank="1" errorStyle="stop" imeMode="noControl" operator="between" showDropDown="0" showErrorMessage="1" showInputMessage="0">
          <x14:formula1>
            <xm:f>"0,1,2"</xm:f>
          </x14:formula1>
          <xm:sqref>D2:G9 D11:H20 D22:H27 D29:G30 D32:H35 D37:H39 D41:H44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2" zoomScale="110" workbookViewId="0">
      <selection activeCell="C8" activeCellId="0" sqref="C8"/>
    </sheetView>
  </sheetViews>
  <sheetFormatPr defaultColWidth="12.6640625" defaultRowHeight="15" customHeight="1"/>
  <cols>
    <col customWidth="1" min="1" max="1" width="4.6640625"/>
    <col customWidth="1" min="2" max="2" width="3"/>
    <col customWidth="1" min="3" max="3" width="56.6640625"/>
    <col bestFit="1" customWidth="1" min="4" max="4" width="12.21875"/>
    <col customWidth="1" min="5" max="7" style="10" width="12.21875"/>
    <col customWidth="1" min="8" max="8" width="13.33203125"/>
    <col customWidth="1" min="9" max="9" width="23.6640625"/>
    <col customWidth="1" min="11" max="11" width="20.5546875"/>
  </cols>
  <sheetData>
    <row r="1" ht="25.5">
      <c r="A1" s="11"/>
      <c r="B1" s="12"/>
      <c r="C1" s="12" t="s">
        <v>24</v>
      </c>
      <c r="D1" s="77" t="s">
        <v>25</v>
      </c>
      <c r="E1" s="13" t="s">
        <v>26</v>
      </c>
      <c r="F1" s="13" t="s">
        <v>27</v>
      </c>
      <c r="G1" s="13" t="s">
        <v>28</v>
      </c>
      <c r="H1" s="13" t="s">
        <v>77</v>
      </c>
      <c r="I1" s="77" t="s">
        <v>30</v>
      </c>
    </row>
    <row r="2" ht="51">
      <c r="A2" s="14" t="s">
        <v>31</v>
      </c>
      <c r="B2" s="15" t="s">
        <v>18</v>
      </c>
      <c r="C2" s="16" t="s">
        <v>159</v>
      </c>
      <c r="D2" s="91">
        <v>0</v>
      </c>
      <c r="E2" s="91">
        <v>0</v>
      </c>
      <c r="F2" s="91">
        <v>0</v>
      </c>
      <c r="G2" s="91">
        <v>0</v>
      </c>
      <c r="H2" s="17">
        <v>0</v>
      </c>
      <c r="I2" s="79"/>
    </row>
    <row r="3" ht="25.5">
      <c r="A3" s="82"/>
      <c r="B3" s="83"/>
      <c r="C3" s="21" t="s">
        <v>160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84"/>
    </row>
    <row r="4" ht="25.5">
      <c r="A4" s="82"/>
      <c r="B4" s="83"/>
      <c r="C4" s="24" t="s">
        <v>176</v>
      </c>
      <c r="D4" s="95">
        <v>0</v>
      </c>
      <c r="E4" s="95">
        <v>0</v>
      </c>
      <c r="F4" s="95">
        <v>0</v>
      </c>
      <c r="G4" s="95">
        <v>0</v>
      </c>
      <c r="H4" s="22">
        <v>0</v>
      </c>
      <c r="I4" s="84"/>
    </row>
    <row r="5" ht="25.5">
      <c r="A5" s="82"/>
      <c r="B5" s="83"/>
      <c r="C5" s="24" t="s">
        <v>162</v>
      </c>
      <c r="D5" s="95">
        <v>0</v>
      </c>
      <c r="E5" s="95">
        <v>0</v>
      </c>
      <c r="F5" s="95">
        <v>0</v>
      </c>
      <c r="G5" s="95">
        <v>0</v>
      </c>
      <c r="H5" s="22">
        <v>0</v>
      </c>
      <c r="I5" s="84"/>
    </row>
    <row r="6" ht="25.5">
      <c r="A6" s="82"/>
      <c r="B6" s="85"/>
      <c r="C6" s="39" t="s">
        <v>163</v>
      </c>
      <c r="D6" s="111">
        <v>0</v>
      </c>
      <c r="E6" s="111">
        <v>0</v>
      </c>
      <c r="F6" s="111">
        <v>0</v>
      </c>
      <c r="G6" s="111">
        <v>0</v>
      </c>
      <c r="H6" s="119">
        <v>0</v>
      </c>
      <c r="I6" s="120"/>
    </row>
    <row r="7" ht="51">
      <c r="A7" s="82"/>
      <c r="B7" s="121" t="s">
        <v>20</v>
      </c>
      <c r="C7" s="24" t="s">
        <v>177</v>
      </c>
      <c r="D7" s="91">
        <v>0</v>
      </c>
      <c r="E7" s="91">
        <v>0</v>
      </c>
      <c r="F7" s="91">
        <v>0</v>
      </c>
      <c r="G7" s="91">
        <v>0</v>
      </c>
      <c r="H7" s="17">
        <v>0</v>
      </c>
      <c r="I7" s="79"/>
    </row>
    <row r="8" ht="38.25">
      <c r="A8" s="87"/>
      <c r="B8" s="122"/>
      <c r="C8" s="123" t="s">
        <v>178</v>
      </c>
      <c r="D8" s="94">
        <v>0</v>
      </c>
      <c r="E8" s="94">
        <v>0</v>
      </c>
      <c r="F8" s="94">
        <v>0</v>
      </c>
      <c r="G8" s="94">
        <v>0</v>
      </c>
      <c r="H8" s="27">
        <v>0</v>
      </c>
      <c r="I8" s="86"/>
    </row>
    <row r="9" ht="15.75" customHeight="1">
      <c r="A9" s="34" t="s">
        <v>41</v>
      </c>
      <c r="B9" s="10"/>
      <c r="C9" s="88"/>
      <c r="D9" s="89">
        <f t="shared" ref="D9:H9" si="38">AVERAGE(D2:D8)</f>
        <v>0</v>
      </c>
      <c r="E9" s="89">
        <f t="shared" si="38"/>
        <v>0</v>
      </c>
      <c r="F9" s="89">
        <f t="shared" si="38"/>
        <v>0</v>
      </c>
      <c r="G9" s="89">
        <f t="shared" si="38"/>
        <v>0</v>
      </c>
      <c r="H9" s="89">
        <f t="shared" si="38"/>
        <v>0</v>
      </c>
      <c r="I9" s="90"/>
    </row>
    <row r="10" ht="38.25">
      <c r="A10" s="38" t="s">
        <v>42</v>
      </c>
      <c r="B10" s="15" t="s">
        <v>18</v>
      </c>
      <c r="C10" s="16" t="s">
        <v>164</v>
      </c>
      <c r="D10" s="91">
        <v>0</v>
      </c>
      <c r="E10" s="91">
        <v>0</v>
      </c>
      <c r="F10" s="91">
        <v>0</v>
      </c>
      <c r="G10" s="91">
        <v>0</v>
      </c>
      <c r="H10" s="17">
        <v>0</v>
      </c>
      <c r="I10" s="79"/>
    </row>
    <row r="11" ht="51">
      <c r="A11" s="82"/>
      <c r="B11" s="83"/>
      <c r="C11" s="24" t="s">
        <v>165</v>
      </c>
      <c r="D11" s="95">
        <v>0</v>
      </c>
      <c r="E11" s="95">
        <v>0</v>
      </c>
      <c r="F11" s="95">
        <v>0</v>
      </c>
      <c r="G11" s="95">
        <v>0</v>
      </c>
      <c r="H11" s="22">
        <v>0</v>
      </c>
      <c r="I11" s="84"/>
    </row>
    <row r="12" ht="38.25">
      <c r="A12" s="82"/>
      <c r="B12" s="83"/>
      <c r="C12" s="24" t="s">
        <v>166</v>
      </c>
      <c r="D12" s="95">
        <v>0</v>
      </c>
      <c r="E12" s="95">
        <v>0</v>
      </c>
      <c r="F12" s="95">
        <v>0</v>
      </c>
      <c r="G12" s="95">
        <v>0</v>
      </c>
      <c r="H12" s="22">
        <v>0</v>
      </c>
      <c r="I12" s="84"/>
    </row>
    <row r="13" ht="51">
      <c r="A13" s="82"/>
      <c r="B13" s="85"/>
      <c r="C13" s="26" t="s">
        <v>167</v>
      </c>
      <c r="D13" s="94">
        <v>0</v>
      </c>
      <c r="E13" s="94">
        <v>0</v>
      </c>
      <c r="F13" s="94">
        <v>0</v>
      </c>
      <c r="G13" s="94">
        <v>0</v>
      </c>
      <c r="H13" s="27">
        <v>0</v>
      </c>
      <c r="I13" s="86"/>
    </row>
    <row r="14" ht="25.5">
      <c r="A14" s="82"/>
      <c r="B14" s="15" t="s">
        <v>20</v>
      </c>
      <c r="C14" s="16" t="s">
        <v>179</v>
      </c>
      <c r="D14" s="91">
        <v>0</v>
      </c>
      <c r="E14" s="91">
        <v>0</v>
      </c>
      <c r="F14" s="91">
        <v>0</v>
      </c>
      <c r="G14" s="91">
        <v>0</v>
      </c>
      <c r="H14" s="17">
        <v>0</v>
      </c>
      <c r="I14" s="79"/>
    </row>
    <row r="15" ht="51">
      <c r="A15" s="82"/>
      <c r="B15" s="83"/>
      <c r="C15" s="40" t="s">
        <v>180</v>
      </c>
      <c r="D15" s="92">
        <v>0</v>
      </c>
      <c r="E15" s="92">
        <v>0</v>
      </c>
      <c r="F15" s="92">
        <v>0</v>
      </c>
      <c r="G15" s="92">
        <v>0</v>
      </c>
      <c r="H15" s="41">
        <v>0</v>
      </c>
      <c r="I15" s="93"/>
    </row>
    <row r="16" ht="25.5">
      <c r="A16" s="87"/>
      <c r="B16" s="85"/>
      <c r="C16" s="39" t="s">
        <v>181</v>
      </c>
      <c r="D16" s="94">
        <v>0</v>
      </c>
      <c r="E16" s="94">
        <v>0</v>
      </c>
      <c r="F16" s="94">
        <v>0</v>
      </c>
      <c r="G16" s="94">
        <v>0</v>
      </c>
      <c r="H16" s="27">
        <v>0</v>
      </c>
      <c r="I16" s="86"/>
    </row>
    <row r="17" ht="15.75" customHeight="1">
      <c r="A17" s="34" t="s">
        <v>41</v>
      </c>
      <c r="B17" s="10"/>
      <c r="C17" s="88"/>
      <c r="D17" s="36">
        <f t="shared" ref="D17:H17" si="39">AVERAGE(D10:D16)</f>
        <v>0</v>
      </c>
      <c r="E17" s="36">
        <f t="shared" si="39"/>
        <v>0</v>
      </c>
      <c r="F17" s="36">
        <f t="shared" si="39"/>
        <v>0</v>
      </c>
      <c r="G17" s="36">
        <f t="shared" si="39"/>
        <v>0</v>
      </c>
      <c r="H17" s="36">
        <f t="shared" si="39"/>
        <v>0</v>
      </c>
      <c r="I17" s="90"/>
      <c r="K17" s="43" t="s">
        <v>24</v>
      </c>
      <c r="L17" s="44" t="s">
        <v>48</v>
      </c>
      <c r="M17" s="43" t="s">
        <v>49</v>
      </c>
      <c r="N17" s="43" t="s">
        <v>18</v>
      </c>
      <c r="O17" s="43" t="s">
        <v>20</v>
      </c>
    </row>
    <row r="18" ht="25.5">
      <c r="A18" s="45" t="s">
        <v>50</v>
      </c>
      <c r="B18" s="15" t="s">
        <v>18</v>
      </c>
      <c r="C18" s="16" t="s">
        <v>168</v>
      </c>
      <c r="D18" s="91">
        <v>0</v>
      </c>
      <c r="E18" s="91">
        <v>0</v>
      </c>
      <c r="F18" s="91">
        <v>0</v>
      </c>
      <c r="G18" s="91">
        <v>0</v>
      </c>
      <c r="H18" s="91">
        <v>0</v>
      </c>
      <c r="I18" s="79"/>
      <c r="K18" s="46" t="s">
        <v>31</v>
      </c>
      <c r="L18" s="47">
        <f>D9</f>
        <v>0</v>
      </c>
      <c r="M18" s="48">
        <f t="shared" ref="M18:M24" si="40">N18+(2-N18)*0.7</f>
        <v>1.8285714285714285</v>
      </c>
      <c r="N18" s="48">
        <f>2*5/7</f>
        <v>1.4285714285714286</v>
      </c>
      <c r="O18" s="49">
        <v>2</v>
      </c>
    </row>
    <row r="19" ht="38.25">
      <c r="A19" s="82"/>
      <c r="B19" s="83"/>
      <c r="C19" s="30" t="s">
        <v>169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81"/>
      <c r="K19" s="50" t="s">
        <v>42</v>
      </c>
      <c r="L19" s="47">
        <f>D17</f>
        <v>0</v>
      </c>
      <c r="M19" s="48">
        <f t="shared" si="40"/>
        <v>1.7428571428571429</v>
      </c>
      <c r="N19" s="48">
        <f>2*4/7</f>
        <v>1.1428571428571428</v>
      </c>
      <c r="O19" s="49">
        <v>2</v>
      </c>
    </row>
    <row r="20" ht="25.5">
      <c r="A20" s="82"/>
      <c r="B20" s="83"/>
      <c r="C20" s="24" t="s">
        <v>170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84"/>
      <c r="K20" s="43" t="s">
        <v>54</v>
      </c>
      <c r="L20" s="47">
        <f>D26</f>
        <v>0</v>
      </c>
      <c r="M20" s="48">
        <f t="shared" si="40"/>
        <v>1.7</v>
      </c>
      <c r="N20" s="48">
        <f>2*4/8</f>
        <v>1</v>
      </c>
      <c r="O20" s="49">
        <v>2</v>
      </c>
    </row>
    <row r="21" ht="25.5">
      <c r="A21" s="82"/>
      <c r="B21" s="85"/>
      <c r="C21" s="26" t="s">
        <v>171</v>
      </c>
      <c r="D21" s="94">
        <v>0</v>
      </c>
      <c r="E21" s="94">
        <v>0</v>
      </c>
      <c r="F21" s="94">
        <v>0</v>
      </c>
      <c r="G21" s="94">
        <v>0</v>
      </c>
      <c r="H21" s="94">
        <v>0</v>
      </c>
      <c r="I21" s="86"/>
      <c r="K21" s="55" t="s">
        <v>56</v>
      </c>
      <c r="L21" s="47">
        <f>D29</f>
        <v>0</v>
      </c>
      <c r="M21" s="48">
        <f t="shared" si="40"/>
        <v>2</v>
      </c>
      <c r="N21" s="48">
        <f>2*2/2</f>
        <v>2</v>
      </c>
      <c r="O21" s="49">
        <v>2</v>
      </c>
    </row>
    <row r="22" ht="13.199999999999999">
      <c r="A22" s="82"/>
      <c r="B22" s="15" t="s">
        <v>20</v>
      </c>
      <c r="C22" s="16" t="s">
        <v>182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79"/>
      <c r="K22" s="56" t="s">
        <v>57</v>
      </c>
      <c r="L22" s="47">
        <f>D31</f>
        <v>0</v>
      </c>
      <c r="M22" s="48">
        <f t="shared" si="40"/>
        <v>2</v>
      </c>
      <c r="N22" s="48">
        <f>2*1/1</f>
        <v>2</v>
      </c>
      <c r="O22" s="49">
        <v>2</v>
      </c>
    </row>
    <row r="23" ht="25.5">
      <c r="A23" s="82"/>
      <c r="B23" s="83"/>
      <c r="C23" s="21" t="s">
        <v>183</v>
      </c>
      <c r="D23" s="95">
        <v>0</v>
      </c>
      <c r="E23" s="95">
        <v>0</v>
      </c>
      <c r="F23" s="95">
        <v>0</v>
      </c>
      <c r="G23" s="95">
        <v>0</v>
      </c>
      <c r="H23" s="95">
        <v>0</v>
      </c>
      <c r="I23" s="84"/>
      <c r="K23" s="58" t="s">
        <v>59</v>
      </c>
      <c r="L23" s="47">
        <f>D36</f>
        <v>0</v>
      </c>
      <c r="M23" s="48">
        <f t="shared" si="40"/>
        <v>1.5499999999999998</v>
      </c>
      <c r="N23" s="48">
        <f>2*1/4</f>
        <v>0.5</v>
      </c>
      <c r="O23" s="49">
        <v>2</v>
      </c>
    </row>
    <row r="24" ht="25.5">
      <c r="A24" s="82"/>
      <c r="B24" s="83"/>
      <c r="C24" s="24" t="s">
        <v>184</v>
      </c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84"/>
      <c r="K24" s="59" t="s">
        <v>61</v>
      </c>
      <c r="L24" s="47">
        <f>D42</f>
        <v>0</v>
      </c>
      <c r="M24" s="48">
        <f t="shared" si="40"/>
        <v>1.7999999999999998</v>
      </c>
      <c r="N24" s="48">
        <f>2*2/3</f>
        <v>1.3333333333333333</v>
      </c>
      <c r="O24" s="49">
        <v>2</v>
      </c>
    </row>
    <row r="25" ht="25.5">
      <c r="A25" s="87"/>
      <c r="B25" s="85"/>
      <c r="C25" s="26" t="s">
        <v>185</v>
      </c>
      <c r="D25" s="94">
        <v>0</v>
      </c>
      <c r="E25" s="94">
        <v>0</v>
      </c>
      <c r="F25" s="94">
        <v>0</v>
      </c>
      <c r="G25" s="94">
        <v>0</v>
      </c>
      <c r="H25" s="94">
        <v>0</v>
      </c>
      <c r="I25" s="86"/>
    </row>
    <row r="26" ht="15.75" customHeight="1">
      <c r="A26" s="34" t="s">
        <v>41</v>
      </c>
      <c r="B26" s="10"/>
      <c r="C26" s="88"/>
      <c r="D26" s="36">
        <f t="shared" ref="D26:H26" si="41">AVERAGE(D18:D25)</f>
        <v>0</v>
      </c>
      <c r="E26" s="36">
        <f t="shared" si="41"/>
        <v>0</v>
      </c>
      <c r="F26" s="36">
        <f t="shared" si="41"/>
        <v>0</v>
      </c>
      <c r="G26" s="36">
        <f t="shared" si="41"/>
        <v>0</v>
      </c>
      <c r="H26" s="36">
        <f t="shared" si="41"/>
        <v>0</v>
      </c>
      <c r="I26" s="90"/>
    </row>
    <row r="27" ht="25.5">
      <c r="A27" s="57" t="s">
        <v>56</v>
      </c>
      <c r="B27" s="15" t="s">
        <v>18</v>
      </c>
      <c r="C27" s="16" t="s">
        <v>147</v>
      </c>
      <c r="D27" s="91">
        <v>0</v>
      </c>
      <c r="E27" s="91">
        <v>0</v>
      </c>
      <c r="F27" s="91">
        <v>0</v>
      </c>
      <c r="G27" s="91">
        <v>0</v>
      </c>
      <c r="H27" s="91">
        <v>0</v>
      </c>
      <c r="I27" s="79"/>
    </row>
    <row r="28" ht="25.5">
      <c r="A28" s="87"/>
      <c r="B28" s="85"/>
      <c r="C28" s="26" t="s">
        <v>148</v>
      </c>
      <c r="D28" s="94">
        <v>0</v>
      </c>
      <c r="E28" s="94">
        <v>0</v>
      </c>
      <c r="F28" s="94">
        <v>0</v>
      </c>
      <c r="G28" s="94">
        <v>0</v>
      </c>
      <c r="H28" s="94">
        <v>0</v>
      </c>
      <c r="I28" s="86"/>
    </row>
    <row r="29" ht="15.75" customHeight="1">
      <c r="A29" s="34" t="s">
        <v>41</v>
      </c>
      <c r="B29" s="10"/>
      <c r="C29" s="88"/>
      <c r="D29" s="36">
        <f t="shared" ref="D29:H29" si="42">AVERAGE(D27:D28)</f>
        <v>0</v>
      </c>
      <c r="E29" s="36">
        <f t="shared" si="42"/>
        <v>0</v>
      </c>
      <c r="F29" s="36">
        <f t="shared" si="42"/>
        <v>0</v>
      </c>
      <c r="G29" s="36">
        <f t="shared" si="42"/>
        <v>0</v>
      </c>
      <c r="H29" s="36">
        <f t="shared" si="42"/>
        <v>0</v>
      </c>
      <c r="I29" s="90"/>
    </row>
    <row r="30" ht="45.75" customHeight="1">
      <c r="A30" s="124" t="s">
        <v>57</v>
      </c>
      <c r="B30" s="51" t="s">
        <v>18</v>
      </c>
      <c r="C30" s="53" t="s">
        <v>172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7"/>
    </row>
    <row r="31" ht="15.75" customHeight="1">
      <c r="A31" s="34" t="s">
        <v>41</v>
      </c>
      <c r="B31" s="10"/>
      <c r="C31" s="88"/>
      <c r="D31" s="36">
        <f t="shared" ref="D31:H31" si="43">AVERAGE(D30)</f>
        <v>0</v>
      </c>
      <c r="E31" s="36">
        <f t="shared" si="43"/>
        <v>0</v>
      </c>
      <c r="F31" s="36">
        <f t="shared" si="43"/>
        <v>0</v>
      </c>
      <c r="G31" s="36">
        <f t="shared" si="43"/>
        <v>0</v>
      </c>
      <c r="H31" s="36">
        <f t="shared" si="43"/>
        <v>0</v>
      </c>
      <c r="I31" s="90"/>
    </row>
    <row r="32" ht="38.25">
      <c r="A32" s="65" t="s">
        <v>59</v>
      </c>
      <c r="B32" s="51" t="s">
        <v>18</v>
      </c>
      <c r="C32" s="53" t="s">
        <v>173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7"/>
    </row>
    <row r="33" ht="25.5">
      <c r="A33" s="82"/>
      <c r="B33" s="15" t="s">
        <v>20</v>
      </c>
      <c r="C33" s="16" t="s">
        <v>186</v>
      </c>
      <c r="D33" s="91">
        <v>0</v>
      </c>
      <c r="E33" s="91">
        <v>0</v>
      </c>
      <c r="F33" s="91">
        <v>0</v>
      </c>
      <c r="G33" s="91">
        <v>0</v>
      </c>
      <c r="H33" s="91">
        <v>0</v>
      </c>
      <c r="I33" s="79"/>
    </row>
    <row r="34" ht="25.5">
      <c r="A34" s="82"/>
      <c r="B34" s="83"/>
      <c r="C34" s="24" t="s">
        <v>187</v>
      </c>
      <c r="D34" s="95">
        <v>0</v>
      </c>
      <c r="E34" s="95">
        <v>0</v>
      </c>
      <c r="F34" s="95">
        <v>0</v>
      </c>
      <c r="G34" s="95">
        <v>0</v>
      </c>
      <c r="H34" s="95">
        <v>0</v>
      </c>
      <c r="I34" s="84"/>
    </row>
    <row r="35" ht="38.25">
      <c r="A35" s="87"/>
      <c r="B35" s="85"/>
      <c r="C35" s="26" t="s">
        <v>188</v>
      </c>
      <c r="D35" s="94">
        <v>0</v>
      </c>
      <c r="E35" s="94">
        <v>0</v>
      </c>
      <c r="F35" s="94">
        <v>0</v>
      </c>
      <c r="G35" s="94">
        <v>0</v>
      </c>
      <c r="H35" s="94">
        <v>0</v>
      </c>
      <c r="I35" s="86"/>
    </row>
    <row r="36" ht="15.75" customHeight="1">
      <c r="A36" s="34" t="s">
        <v>41</v>
      </c>
      <c r="B36" s="10"/>
      <c r="C36" s="88"/>
      <c r="D36" s="89">
        <f t="shared" ref="D36:H36" si="44">AVERAGE(D32:D35)</f>
        <v>0</v>
      </c>
      <c r="E36" s="89">
        <f t="shared" si="44"/>
        <v>0</v>
      </c>
      <c r="F36" s="89">
        <f t="shared" si="44"/>
        <v>0</v>
      </c>
      <c r="G36" s="89">
        <f t="shared" si="44"/>
        <v>0</v>
      </c>
      <c r="H36" s="89">
        <f t="shared" si="44"/>
        <v>0</v>
      </c>
      <c r="I36" s="90"/>
    </row>
    <row r="37" ht="25.5">
      <c r="A37" s="67" t="s">
        <v>70</v>
      </c>
      <c r="B37" s="15" t="s">
        <v>18</v>
      </c>
      <c r="C37" s="24" t="s">
        <v>174</v>
      </c>
      <c r="D37" s="95">
        <v>0</v>
      </c>
      <c r="E37" s="95">
        <v>0</v>
      </c>
      <c r="F37" s="95">
        <v>0</v>
      </c>
      <c r="G37" s="95">
        <v>0</v>
      </c>
      <c r="H37" s="95">
        <v>0</v>
      </c>
      <c r="I37" s="84"/>
    </row>
    <row r="38" ht="38.25">
      <c r="A38" s="125"/>
      <c r="B38" s="83"/>
      <c r="C38" s="26" t="s">
        <v>175</v>
      </c>
      <c r="D38" s="94">
        <v>0</v>
      </c>
      <c r="E38" s="94">
        <v>0</v>
      </c>
      <c r="F38" s="94">
        <v>0</v>
      </c>
      <c r="G38" s="94">
        <v>0</v>
      </c>
      <c r="H38" s="94">
        <v>0</v>
      </c>
      <c r="I38" s="86"/>
    </row>
    <row r="39" ht="13.199999999999999">
      <c r="A39" s="125"/>
      <c r="B39" s="15" t="s">
        <v>20</v>
      </c>
      <c r="C39" s="16" t="s">
        <v>189</v>
      </c>
      <c r="D39" s="91">
        <v>0</v>
      </c>
      <c r="E39" s="91">
        <v>0</v>
      </c>
      <c r="F39" s="91">
        <v>0</v>
      </c>
      <c r="G39" s="91">
        <v>0</v>
      </c>
      <c r="H39" s="91">
        <v>0</v>
      </c>
      <c r="I39" s="79"/>
    </row>
    <row r="40" ht="25.5">
      <c r="A40" s="125"/>
      <c r="B40" s="83"/>
      <c r="C40" s="24" t="s">
        <v>190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84"/>
    </row>
    <row r="41" ht="25.5">
      <c r="A41" s="125"/>
      <c r="B41" s="85"/>
      <c r="C41" s="26" t="s">
        <v>191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86"/>
    </row>
    <row r="42" ht="15.75" customHeight="1">
      <c r="A42" s="69" t="s">
        <v>41</v>
      </c>
      <c r="B42" s="98"/>
      <c r="C42" s="99"/>
      <c r="D42" s="100">
        <f>AVERAGE(D37:D41)</f>
        <v>0</v>
      </c>
      <c r="E42" s="100">
        <f t="shared" ref="E42:G42" si="45">AVERAGE(E37:E41)</f>
        <v>0</v>
      </c>
      <c r="F42" s="100">
        <f t="shared" si="45"/>
        <v>0</v>
      </c>
      <c r="G42" s="100">
        <f t="shared" si="45"/>
        <v>0</v>
      </c>
      <c r="H42" s="100">
        <f>AVERAGE(H37:H41)</f>
        <v>0</v>
      </c>
      <c r="I42" s="101"/>
    </row>
    <row r="43" ht="15.75" customHeight="1">
      <c r="A43" s="74"/>
      <c r="B43" s="61"/>
      <c r="C43" s="61"/>
      <c r="D43" s="75"/>
      <c r="E43" s="75"/>
      <c r="F43" s="75"/>
      <c r="G43" s="75"/>
      <c r="H43" s="62"/>
    </row>
    <row r="44" ht="15.75" customHeight="1">
      <c r="A44" s="74"/>
      <c r="B44" s="76"/>
    </row>
    <row r="45" ht="15.75" customHeight="1">
      <c r="A45" s="74"/>
      <c r="B45" s="61"/>
    </row>
    <row r="46" ht="15.75" customHeight="1">
      <c r="A46" s="74"/>
      <c r="B46" s="61"/>
    </row>
    <row r="47" ht="15.75" customHeight="1">
      <c r="A47" s="74"/>
      <c r="B47" s="61"/>
    </row>
    <row r="48" ht="15.75" customHeight="1">
      <c r="A48" s="74"/>
      <c r="B48" s="61"/>
    </row>
    <row r="49" ht="15.75" customHeight="1">
      <c r="A49" s="74"/>
      <c r="B49" s="61"/>
    </row>
    <row r="50" ht="15.75" customHeight="1">
      <c r="A50" s="74"/>
      <c r="B50" s="61"/>
    </row>
    <row r="51" ht="15.75" customHeight="1">
      <c r="A51" s="74"/>
      <c r="B51" s="61"/>
    </row>
    <row r="52" ht="15.75" customHeight="1">
      <c r="A52" s="74"/>
      <c r="B52" s="61"/>
      <c r="C52" s="61"/>
      <c r="H52" s="62"/>
    </row>
    <row r="53" ht="15.75" customHeight="1">
      <c r="A53" s="74"/>
      <c r="B53" s="61"/>
      <c r="C53" s="61"/>
      <c r="H53" s="62"/>
    </row>
    <row r="54" ht="15.75" customHeight="1">
      <c r="A54" s="74"/>
      <c r="B54" s="61"/>
      <c r="C54" s="61"/>
      <c r="H54" s="62"/>
    </row>
    <row r="55" ht="15.75" customHeight="1">
      <c r="A55" s="74"/>
      <c r="B55" s="61"/>
      <c r="C55" s="61"/>
      <c r="H55" s="62"/>
    </row>
    <row r="56" ht="15.75" customHeight="1">
      <c r="A56" s="74"/>
      <c r="B56" s="61"/>
      <c r="C56" s="61"/>
      <c r="H56" s="62"/>
    </row>
    <row r="57" ht="15.75" customHeight="1">
      <c r="A57" s="74"/>
      <c r="B57" s="61"/>
      <c r="C57" s="61"/>
      <c r="H57" s="62"/>
    </row>
    <row r="58" ht="15.75" customHeight="1">
      <c r="A58" s="74"/>
      <c r="B58" s="61"/>
      <c r="C58" s="61"/>
      <c r="H58" s="62"/>
    </row>
    <row r="59" ht="15.75" customHeight="1">
      <c r="A59" s="74"/>
      <c r="B59" s="61"/>
      <c r="C59" s="61"/>
      <c r="H59" s="62"/>
    </row>
    <row r="60" ht="15.75" customHeight="1">
      <c r="A60" s="74"/>
      <c r="B60" s="61"/>
      <c r="C60" s="61"/>
      <c r="H60" s="62"/>
    </row>
    <row r="61" ht="15.75" customHeight="1">
      <c r="A61" s="74"/>
      <c r="B61" s="61"/>
      <c r="C61" s="61"/>
      <c r="H61" s="62"/>
    </row>
    <row r="62" ht="15.75" customHeight="1">
      <c r="A62" s="74"/>
      <c r="B62" s="61"/>
      <c r="C62" s="61"/>
      <c r="H62" s="62"/>
    </row>
    <row r="63" ht="15.75" customHeight="1">
      <c r="A63" s="74"/>
      <c r="B63" s="61"/>
      <c r="C63" s="61"/>
      <c r="H63" s="62"/>
    </row>
    <row r="64" ht="15.75" customHeight="1">
      <c r="A64" s="74"/>
      <c r="B64" s="61"/>
      <c r="C64" s="61"/>
      <c r="H64" s="62"/>
    </row>
    <row r="65" ht="15.75" customHeight="1">
      <c r="A65" s="74"/>
      <c r="B65" s="61"/>
      <c r="C65" s="61"/>
      <c r="H65" s="62"/>
    </row>
    <row r="66" ht="15.75" customHeight="1">
      <c r="A66" s="74"/>
      <c r="B66" s="61"/>
      <c r="C66" s="61"/>
      <c r="H66" s="62"/>
    </row>
    <row r="67" ht="15.75" customHeight="1">
      <c r="A67" s="74"/>
      <c r="B67" s="61"/>
      <c r="C67" s="61"/>
      <c r="H67" s="62"/>
    </row>
    <row r="68" ht="15.75" customHeight="1">
      <c r="A68" s="74"/>
      <c r="B68" s="61"/>
      <c r="C68" s="61"/>
      <c r="H68" s="62"/>
    </row>
    <row r="69" ht="15.75" customHeight="1">
      <c r="A69" s="74"/>
      <c r="B69" s="61"/>
      <c r="C69" s="61"/>
      <c r="H69" s="62"/>
    </row>
    <row r="70" ht="15.75" customHeight="1">
      <c r="A70" s="74"/>
      <c r="B70" s="61"/>
      <c r="C70" s="61"/>
      <c r="H70" s="62"/>
    </row>
    <row r="71" ht="15.75" customHeight="1">
      <c r="A71" s="74"/>
      <c r="B71" s="61"/>
      <c r="C71" s="61"/>
      <c r="H71" s="62"/>
    </row>
    <row r="72" ht="15.75" customHeight="1">
      <c r="A72" s="74"/>
      <c r="B72" s="61"/>
      <c r="C72" s="61"/>
      <c r="H72" s="62"/>
    </row>
    <row r="73" ht="15.75" customHeight="1">
      <c r="A73" s="74"/>
      <c r="B73" s="61"/>
      <c r="C73" s="61"/>
      <c r="H73" s="62"/>
    </row>
    <row r="74" ht="15.75" customHeight="1">
      <c r="A74" s="74"/>
      <c r="B74" s="61"/>
      <c r="C74" s="61"/>
      <c r="H74" s="62"/>
    </row>
    <row r="75" ht="15.75" customHeight="1">
      <c r="A75" s="74"/>
      <c r="B75" s="61"/>
      <c r="C75" s="61"/>
      <c r="H75" s="62"/>
    </row>
    <row r="76" ht="15.75" customHeight="1">
      <c r="A76" s="74"/>
      <c r="B76" s="61"/>
      <c r="C76" s="61"/>
      <c r="H76" s="62"/>
    </row>
    <row r="77" ht="15.75" customHeight="1">
      <c r="A77" s="74"/>
      <c r="B77" s="61"/>
      <c r="C77" s="61"/>
      <c r="H77" s="62"/>
    </row>
    <row r="78" ht="15.75" customHeight="1">
      <c r="A78" s="74"/>
      <c r="B78" s="61"/>
      <c r="C78" s="61"/>
      <c r="H78" s="62"/>
    </row>
    <row r="79" ht="15.75" customHeight="1">
      <c r="A79" s="74"/>
      <c r="B79" s="61"/>
      <c r="C79" s="61"/>
      <c r="H79" s="62"/>
    </row>
    <row r="80" ht="15.75" customHeight="1">
      <c r="A80" s="74"/>
      <c r="B80" s="61"/>
      <c r="C80" s="61"/>
      <c r="H80" s="62"/>
    </row>
    <row r="81" ht="15.75" customHeight="1">
      <c r="A81" s="74"/>
      <c r="B81" s="61"/>
      <c r="C81" s="61"/>
      <c r="H81" s="62"/>
    </row>
    <row r="82" ht="15.75" customHeight="1">
      <c r="A82" s="74"/>
      <c r="B82" s="61"/>
      <c r="C82" s="61"/>
      <c r="H82" s="62"/>
    </row>
    <row r="83" ht="15.75" customHeight="1">
      <c r="A83" s="74"/>
      <c r="B83" s="61"/>
      <c r="C83" s="61"/>
      <c r="H83" s="62"/>
    </row>
    <row r="84" ht="15.75" customHeight="1">
      <c r="A84" s="74"/>
      <c r="B84" s="61"/>
      <c r="C84" s="61"/>
      <c r="H84" s="62"/>
    </row>
    <row r="85" ht="15.75" customHeight="1">
      <c r="A85" s="74"/>
      <c r="B85" s="61"/>
      <c r="C85" s="61"/>
      <c r="H85" s="62"/>
    </row>
    <row r="86" ht="15.75" customHeight="1">
      <c r="A86" s="74"/>
      <c r="B86" s="61"/>
      <c r="C86" s="61"/>
      <c r="H86" s="62"/>
    </row>
    <row r="87" ht="15.75" customHeight="1">
      <c r="A87" s="74"/>
      <c r="B87" s="61"/>
      <c r="C87" s="61"/>
      <c r="H87" s="62"/>
    </row>
    <row r="88" ht="15.75" customHeight="1">
      <c r="A88" s="74"/>
      <c r="B88" s="61"/>
      <c r="C88" s="61"/>
      <c r="H88" s="62"/>
    </row>
    <row r="89" ht="15.75" customHeight="1">
      <c r="A89" s="74"/>
      <c r="B89" s="61"/>
      <c r="C89" s="61"/>
      <c r="H89" s="62"/>
    </row>
    <row r="90" ht="15.75" customHeight="1">
      <c r="A90" s="74"/>
      <c r="B90" s="61"/>
      <c r="C90" s="61"/>
      <c r="H90" s="62"/>
    </row>
    <row r="91" ht="15.75" customHeight="1">
      <c r="A91" s="74"/>
      <c r="B91" s="61"/>
      <c r="C91" s="61"/>
      <c r="H91" s="62"/>
    </row>
    <row r="92" ht="15.75" customHeight="1">
      <c r="A92" s="74"/>
      <c r="B92" s="61"/>
      <c r="C92" s="61"/>
      <c r="H92" s="62"/>
    </row>
    <row r="93" ht="15.75" customHeight="1">
      <c r="A93" s="74"/>
      <c r="B93" s="61"/>
      <c r="C93" s="61"/>
      <c r="H93" s="62"/>
    </row>
    <row r="94" ht="15.75" customHeight="1">
      <c r="A94" s="74"/>
      <c r="B94" s="61"/>
      <c r="C94" s="61"/>
      <c r="H94" s="62"/>
    </row>
    <row r="95" ht="15.75" customHeight="1">
      <c r="A95" s="74"/>
      <c r="B95" s="61"/>
      <c r="C95" s="61"/>
      <c r="H95" s="62"/>
    </row>
    <row r="96" ht="15.75" customHeight="1">
      <c r="A96" s="74"/>
      <c r="B96" s="61"/>
      <c r="C96" s="61"/>
      <c r="H96" s="62"/>
    </row>
    <row r="97" ht="15.75" customHeight="1">
      <c r="A97" s="74"/>
      <c r="B97" s="61"/>
      <c r="C97" s="61"/>
      <c r="H97" s="62"/>
    </row>
    <row r="98" ht="15.75" customHeight="1">
      <c r="A98" s="74"/>
      <c r="B98" s="61"/>
      <c r="C98" s="61"/>
      <c r="H98" s="62"/>
    </row>
    <row r="99" ht="15.75" customHeight="1">
      <c r="A99" s="74"/>
      <c r="B99" s="61"/>
      <c r="C99" s="61"/>
      <c r="H99" s="62"/>
    </row>
    <row r="100" ht="15.75" customHeight="1">
      <c r="A100" s="74"/>
      <c r="B100" s="61"/>
      <c r="C100" s="61"/>
      <c r="H100" s="62"/>
    </row>
    <row r="101" ht="15.75" customHeight="1">
      <c r="A101" s="74"/>
      <c r="B101" s="61"/>
      <c r="C101" s="61"/>
      <c r="H101" s="62"/>
    </row>
    <row r="102" ht="15.75" customHeight="1">
      <c r="A102" s="74"/>
      <c r="B102" s="61"/>
      <c r="C102" s="61"/>
      <c r="H102" s="62"/>
    </row>
    <row r="103" ht="15.75" customHeight="1">
      <c r="A103" s="74"/>
      <c r="B103" s="61"/>
      <c r="C103" s="61"/>
      <c r="H103" s="62"/>
    </row>
    <row r="104" ht="15.75" customHeight="1">
      <c r="A104" s="74"/>
      <c r="B104" s="61"/>
      <c r="C104" s="61"/>
      <c r="H104" s="62"/>
    </row>
    <row r="105" ht="15.75" customHeight="1">
      <c r="A105" s="74"/>
      <c r="B105" s="61"/>
      <c r="C105" s="61"/>
      <c r="H105" s="62"/>
    </row>
    <row r="106" ht="15.75" customHeight="1">
      <c r="A106" s="74"/>
      <c r="B106" s="61"/>
      <c r="C106" s="61"/>
      <c r="H106" s="62"/>
    </row>
    <row r="107" ht="15.75" customHeight="1">
      <c r="A107" s="74"/>
      <c r="B107" s="61"/>
      <c r="C107" s="61"/>
      <c r="H107" s="62"/>
    </row>
    <row r="108" ht="15.75" customHeight="1">
      <c r="A108" s="74"/>
      <c r="B108" s="61"/>
      <c r="C108" s="61"/>
      <c r="H108" s="62"/>
    </row>
    <row r="109" ht="15.75" customHeight="1">
      <c r="A109" s="74"/>
      <c r="B109" s="61"/>
      <c r="C109" s="61"/>
      <c r="H109" s="62"/>
    </row>
    <row r="110" ht="15.75" customHeight="1">
      <c r="A110" s="74"/>
      <c r="B110" s="61"/>
      <c r="C110" s="61"/>
      <c r="H110" s="62"/>
    </row>
    <row r="111" ht="15.75" customHeight="1">
      <c r="A111" s="74"/>
      <c r="B111" s="61"/>
      <c r="C111" s="61"/>
      <c r="H111" s="62"/>
    </row>
    <row r="112" ht="15.75" customHeight="1">
      <c r="A112" s="74"/>
      <c r="B112" s="61"/>
      <c r="C112" s="61"/>
      <c r="H112" s="62"/>
    </row>
    <row r="113" ht="15.75" customHeight="1">
      <c r="A113" s="74"/>
      <c r="B113" s="61"/>
      <c r="C113" s="61"/>
      <c r="H113" s="62"/>
    </row>
    <row r="114" ht="15.75" customHeight="1">
      <c r="A114" s="74"/>
      <c r="B114" s="61"/>
      <c r="C114" s="61"/>
      <c r="H114" s="62"/>
    </row>
    <row r="115" ht="15.75" customHeight="1">
      <c r="A115" s="74"/>
      <c r="B115" s="61"/>
      <c r="C115" s="61"/>
      <c r="H115" s="62"/>
    </row>
    <row r="116" ht="15.75" customHeight="1">
      <c r="A116" s="74"/>
      <c r="B116" s="61"/>
      <c r="C116" s="61"/>
      <c r="H116" s="62"/>
    </row>
    <row r="117" ht="15.75" customHeight="1">
      <c r="A117" s="74"/>
      <c r="B117" s="61"/>
      <c r="C117" s="61"/>
      <c r="H117" s="62"/>
    </row>
    <row r="118" ht="15.75" customHeight="1">
      <c r="A118" s="74"/>
      <c r="B118" s="61"/>
      <c r="C118" s="61"/>
      <c r="H118" s="62"/>
    </row>
    <row r="119" ht="15.75" customHeight="1">
      <c r="A119" s="74"/>
      <c r="B119" s="61"/>
      <c r="C119" s="61"/>
      <c r="H119" s="62"/>
    </row>
    <row r="120" ht="15.75" customHeight="1">
      <c r="A120" s="74"/>
      <c r="B120" s="61"/>
      <c r="C120" s="61"/>
      <c r="H120" s="62"/>
    </row>
    <row r="121" ht="15.75" customHeight="1">
      <c r="A121" s="74"/>
      <c r="B121" s="61"/>
      <c r="C121" s="61"/>
      <c r="H121" s="62"/>
    </row>
    <row r="122" ht="15.75" customHeight="1">
      <c r="A122" s="74"/>
      <c r="B122" s="61"/>
      <c r="C122" s="61"/>
      <c r="H122" s="62"/>
    </row>
    <row r="123" ht="15.75" customHeight="1">
      <c r="A123" s="74"/>
      <c r="B123" s="61"/>
      <c r="C123" s="61"/>
      <c r="H123" s="62"/>
    </row>
    <row r="124" ht="15.75" customHeight="1">
      <c r="A124" s="74"/>
      <c r="B124" s="61"/>
      <c r="C124" s="61"/>
      <c r="H124" s="62"/>
    </row>
    <row r="125" ht="15.75" customHeight="1">
      <c r="A125" s="74"/>
      <c r="B125" s="61"/>
      <c r="C125" s="61"/>
      <c r="H125" s="62"/>
    </row>
    <row r="126" ht="15.75" customHeight="1">
      <c r="A126" s="74"/>
      <c r="B126" s="61"/>
      <c r="C126" s="61"/>
      <c r="H126" s="62"/>
    </row>
    <row r="127" ht="15.75" customHeight="1">
      <c r="A127" s="74"/>
      <c r="B127" s="61"/>
      <c r="C127" s="61"/>
      <c r="H127" s="62"/>
    </row>
    <row r="128" ht="15.75" customHeight="1">
      <c r="A128" s="74"/>
      <c r="B128" s="61"/>
      <c r="C128" s="61"/>
      <c r="H128" s="62"/>
    </row>
    <row r="129" ht="15.75" customHeight="1">
      <c r="A129" s="74"/>
      <c r="B129" s="61"/>
      <c r="C129" s="61"/>
      <c r="H129" s="62"/>
    </row>
    <row r="130" ht="15.75" customHeight="1">
      <c r="A130" s="74"/>
      <c r="B130" s="61"/>
      <c r="C130" s="61"/>
      <c r="H130" s="62"/>
    </row>
    <row r="131" ht="15.75" customHeight="1">
      <c r="A131" s="74"/>
      <c r="B131" s="61"/>
      <c r="C131" s="61"/>
      <c r="H131" s="62"/>
    </row>
    <row r="132" ht="15.75" customHeight="1">
      <c r="A132" s="74"/>
      <c r="B132" s="61"/>
      <c r="C132" s="61"/>
      <c r="H132" s="62"/>
    </row>
    <row r="133" ht="15.75" customHeight="1">
      <c r="A133" s="74"/>
      <c r="B133" s="61"/>
      <c r="C133" s="61"/>
      <c r="H133" s="62"/>
    </row>
    <row r="134" ht="15.75" customHeight="1">
      <c r="A134" s="74"/>
      <c r="B134" s="61"/>
      <c r="C134" s="61"/>
      <c r="H134" s="62"/>
    </row>
    <row r="135" ht="15.75" customHeight="1">
      <c r="A135" s="74"/>
      <c r="B135" s="61"/>
      <c r="C135" s="61"/>
      <c r="H135" s="62"/>
    </row>
    <row r="136" ht="15.75" customHeight="1">
      <c r="A136" s="74"/>
      <c r="B136" s="61"/>
      <c r="C136" s="61"/>
      <c r="H136" s="62"/>
    </row>
    <row r="137" ht="15.75" customHeight="1">
      <c r="A137" s="74"/>
      <c r="B137" s="61"/>
      <c r="C137" s="61"/>
      <c r="H137" s="62"/>
    </row>
    <row r="138" ht="15.75" customHeight="1">
      <c r="A138" s="74"/>
      <c r="B138" s="61"/>
      <c r="C138" s="61"/>
      <c r="H138" s="62"/>
    </row>
    <row r="139" ht="15.75" customHeight="1">
      <c r="A139" s="74"/>
      <c r="B139" s="61"/>
      <c r="C139" s="61"/>
      <c r="H139" s="62"/>
    </row>
    <row r="140" ht="15.75" customHeight="1">
      <c r="A140" s="74"/>
      <c r="B140" s="61"/>
      <c r="C140" s="61"/>
      <c r="H140" s="62"/>
    </row>
    <row r="141" ht="15.75" customHeight="1">
      <c r="A141" s="74"/>
      <c r="B141" s="61"/>
      <c r="C141" s="61"/>
      <c r="H141" s="62"/>
    </row>
    <row r="142" ht="15.75" customHeight="1">
      <c r="A142" s="74"/>
      <c r="B142" s="61"/>
      <c r="C142" s="61"/>
      <c r="H142" s="62"/>
    </row>
    <row r="143" ht="15.75" customHeight="1">
      <c r="A143" s="74"/>
      <c r="B143" s="61"/>
      <c r="C143" s="61"/>
      <c r="H143" s="62"/>
    </row>
    <row r="144" ht="15.75" customHeight="1">
      <c r="A144" s="74"/>
      <c r="B144" s="61"/>
      <c r="C144" s="61"/>
      <c r="H144" s="62"/>
    </row>
    <row r="145" ht="15.75" customHeight="1">
      <c r="A145" s="74"/>
      <c r="B145" s="61"/>
      <c r="C145" s="61"/>
      <c r="H145" s="62"/>
    </row>
    <row r="146" ht="15.75" customHeight="1">
      <c r="A146" s="74"/>
      <c r="B146" s="61"/>
      <c r="C146" s="61"/>
      <c r="H146" s="62"/>
    </row>
    <row r="147" ht="15.75" customHeight="1">
      <c r="A147" s="74"/>
      <c r="B147" s="61"/>
      <c r="C147" s="61"/>
      <c r="H147" s="62"/>
    </row>
    <row r="148" ht="15.75" customHeight="1">
      <c r="A148" s="74"/>
      <c r="B148" s="61"/>
      <c r="C148" s="61"/>
      <c r="H148" s="62"/>
    </row>
    <row r="149" ht="15.75" customHeight="1">
      <c r="A149" s="74"/>
      <c r="B149" s="61"/>
      <c r="C149" s="61"/>
      <c r="H149" s="62"/>
    </row>
    <row r="150" ht="15.75" customHeight="1">
      <c r="A150" s="74"/>
      <c r="B150" s="61"/>
      <c r="C150" s="61"/>
      <c r="H150" s="62"/>
    </row>
    <row r="151" ht="15.75" customHeight="1">
      <c r="A151" s="74"/>
      <c r="B151" s="61"/>
      <c r="C151" s="61"/>
      <c r="H151" s="62"/>
    </row>
    <row r="152" ht="15.75" customHeight="1">
      <c r="A152" s="74"/>
      <c r="B152" s="61"/>
      <c r="C152" s="61"/>
      <c r="H152" s="62"/>
    </row>
    <row r="153" ht="15.75" customHeight="1">
      <c r="A153" s="74"/>
      <c r="B153" s="61"/>
      <c r="C153" s="61"/>
      <c r="H153" s="62"/>
    </row>
    <row r="154" ht="15.75" customHeight="1">
      <c r="A154" s="74"/>
      <c r="B154" s="61"/>
      <c r="C154" s="61"/>
      <c r="H154" s="62"/>
    </row>
    <row r="155" ht="15.75" customHeight="1">
      <c r="A155" s="74"/>
      <c r="B155" s="61"/>
      <c r="C155" s="61"/>
      <c r="H155" s="62"/>
    </row>
    <row r="156" ht="15.75" customHeight="1">
      <c r="A156" s="74"/>
      <c r="B156" s="61"/>
      <c r="C156" s="61"/>
      <c r="H156" s="62"/>
    </row>
    <row r="157" ht="15.75" customHeight="1">
      <c r="A157" s="74"/>
      <c r="B157" s="61"/>
      <c r="C157" s="61"/>
      <c r="H157" s="62"/>
    </row>
    <row r="158" ht="15.75" customHeight="1">
      <c r="A158" s="74"/>
      <c r="B158" s="61"/>
      <c r="C158" s="61"/>
      <c r="H158" s="62"/>
    </row>
    <row r="159" ht="15.75" customHeight="1">
      <c r="A159" s="74"/>
      <c r="B159" s="61"/>
      <c r="C159" s="61"/>
      <c r="H159" s="62"/>
    </row>
    <row r="160" ht="15.75" customHeight="1">
      <c r="A160" s="74"/>
      <c r="B160" s="61"/>
      <c r="C160" s="61"/>
      <c r="H160" s="62"/>
    </row>
    <row r="161" ht="15.75" customHeight="1">
      <c r="A161" s="74"/>
      <c r="B161" s="61"/>
      <c r="C161" s="61"/>
      <c r="H161" s="62"/>
    </row>
    <row r="162" ht="15.75" customHeight="1">
      <c r="A162" s="74"/>
      <c r="B162" s="61"/>
      <c r="C162" s="61"/>
      <c r="H162" s="62"/>
    </row>
    <row r="163" ht="15.75" customHeight="1">
      <c r="A163" s="74"/>
      <c r="B163" s="61"/>
      <c r="C163" s="61"/>
      <c r="H163" s="62"/>
    </row>
    <row r="164" ht="15.75" customHeight="1">
      <c r="A164" s="74"/>
      <c r="B164" s="61"/>
      <c r="C164" s="61"/>
      <c r="H164" s="62"/>
    </row>
    <row r="165" ht="15.75" customHeight="1">
      <c r="A165" s="74"/>
      <c r="B165" s="61"/>
      <c r="C165" s="61"/>
      <c r="H165" s="62"/>
    </row>
    <row r="166" ht="15.75" customHeight="1">
      <c r="A166" s="74"/>
      <c r="B166" s="61"/>
      <c r="C166" s="61"/>
      <c r="H166" s="62"/>
    </row>
    <row r="167" ht="15.75" customHeight="1">
      <c r="A167" s="74"/>
      <c r="B167" s="61"/>
      <c r="C167" s="61"/>
      <c r="H167" s="62"/>
    </row>
    <row r="168" ht="15.75" customHeight="1">
      <c r="A168" s="74"/>
      <c r="B168" s="61"/>
      <c r="C168" s="61"/>
      <c r="H168" s="62"/>
    </row>
    <row r="169" ht="15.75" customHeight="1">
      <c r="A169" s="74"/>
      <c r="B169" s="61"/>
      <c r="C169" s="61"/>
      <c r="H169" s="62"/>
    </row>
    <row r="170" ht="15.75" customHeight="1">
      <c r="A170" s="74"/>
      <c r="B170" s="61"/>
      <c r="C170" s="61"/>
      <c r="H170" s="62"/>
    </row>
    <row r="171" ht="15.75" customHeight="1">
      <c r="A171" s="74"/>
      <c r="B171" s="61"/>
      <c r="C171" s="61"/>
      <c r="H171" s="62"/>
    </row>
    <row r="172" ht="15.75" customHeight="1">
      <c r="A172" s="74"/>
      <c r="B172" s="61"/>
      <c r="C172" s="61"/>
      <c r="H172" s="62"/>
    </row>
    <row r="173" ht="15.75" customHeight="1">
      <c r="A173" s="74"/>
      <c r="B173" s="61"/>
      <c r="C173" s="61"/>
      <c r="H173" s="62"/>
    </row>
    <row r="174" ht="15.75" customHeight="1">
      <c r="A174" s="74"/>
      <c r="B174" s="61"/>
      <c r="C174" s="61"/>
      <c r="H174" s="62"/>
    </row>
    <row r="175" ht="15.75" customHeight="1">
      <c r="A175" s="74"/>
      <c r="B175" s="61"/>
      <c r="C175" s="61"/>
      <c r="H175" s="62"/>
    </row>
    <row r="176" ht="15.75" customHeight="1">
      <c r="A176" s="74"/>
      <c r="B176" s="61"/>
      <c r="C176" s="61"/>
      <c r="H176" s="62"/>
    </row>
    <row r="177" ht="15.75" customHeight="1">
      <c r="A177" s="74"/>
      <c r="B177" s="61"/>
      <c r="C177" s="61"/>
      <c r="H177" s="62"/>
    </row>
    <row r="178" ht="15.75" customHeight="1">
      <c r="A178" s="74"/>
      <c r="B178" s="61"/>
      <c r="C178" s="61"/>
      <c r="H178" s="62"/>
    </row>
    <row r="179" ht="15.75" customHeight="1">
      <c r="A179" s="74"/>
      <c r="B179" s="61"/>
      <c r="C179" s="61"/>
      <c r="H179" s="62"/>
    </row>
    <row r="180" ht="15.75" customHeight="1">
      <c r="A180" s="74"/>
      <c r="B180" s="61"/>
      <c r="C180" s="61"/>
      <c r="H180" s="62"/>
    </row>
    <row r="181" ht="15.75" customHeight="1">
      <c r="A181" s="74"/>
      <c r="B181" s="61"/>
      <c r="C181" s="61"/>
      <c r="H181" s="62"/>
    </row>
    <row r="182" ht="15.75" customHeight="1">
      <c r="A182" s="74"/>
      <c r="B182" s="61"/>
      <c r="C182" s="61"/>
      <c r="H182" s="62"/>
    </row>
    <row r="183" ht="15.75" customHeight="1">
      <c r="A183" s="74"/>
      <c r="B183" s="61"/>
      <c r="C183" s="61"/>
      <c r="H183" s="62"/>
    </row>
    <row r="184" ht="15.75" customHeight="1">
      <c r="A184" s="74"/>
      <c r="B184" s="61"/>
      <c r="C184" s="61"/>
      <c r="H184" s="62"/>
    </row>
    <row r="185" ht="15.75" customHeight="1">
      <c r="A185" s="74"/>
      <c r="B185" s="61"/>
      <c r="C185" s="61"/>
      <c r="H185" s="62"/>
    </row>
    <row r="186" ht="15.75" customHeight="1">
      <c r="A186" s="74"/>
      <c r="B186" s="61"/>
      <c r="C186" s="61"/>
      <c r="H186" s="62"/>
    </row>
    <row r="187" ht="15.75" customHeight="1">
      <c r="A187" s="74"/>
      <c r="B187" s="61"/>
      <c r="C187" s="61"/>
      <c r="H187" s="62"/>
    </row>
    <row r="188" ht="15.75" customHeight="1">
      <c r="A188" s="74"/>
      <c r="B188" s="61"/>
      <c r="C188" s="61"/>
      <c r="H188" s="62"/>
    </row>
    <row r="189" ht="15.75" customHeight="1">
      <c r="A189" s="74"/>
      <c r="B189" s="61"/>
      <c r="C189" s="61"/>
      <c r="H189" s="62"/>
    </row>
    <row r="190" ht="15.75" customHeight="1">
      <c r="A190" s="74"/>
      <c r="B190" s="61"/>
      <c r="C190" s="61"/>
      <c r="H190" s="62"/>
    </row>
    <row r="191" ht="15.75" customHeight="1">
      <c r="A191" s="74"/>
      <c r="B191" s="61"/>
      <c r="C191" s="61"/>
      <c r="H191" s="62"/>
    </row>
    <row r="192" ht="15.75" customHeight="1">
      <c r="A192" s="74"/>
      <c r="B192" s="61"/>
      <c r="C192" s="61"/>
      <c r="H192" s="62"/>
    </row>
    <row r="193" ht="15.75" customHeight="1">
      <c r="A193" s="74"/>
      <c r="B193" s="61"/>
      <c r="C193" s="61"/>
      <c r="H193" s="62"/>
    </row>
    <row r="194" ht="15.75" customHeight="1">
      <c r="A194" s="74"/>
      <c r="B194" s="61"/>
      <c r="C194" s="61"/>
      <c r="H194" s="62"/>
    </row>
    <row r="195" ht="15.75" customHeight="1">
      <c r="A195" s="74"/>
      <c r="B195" s="61"/>
      <c r="C195" s="61"/>
      <c r="H195" s="62"/>
    </row>
    <row r="196" ht="15.75" customHeight="1">
      <c r="A196" s="74"/>
      <c r="B196" s="61"/>
      <c r="C196" s="61"/>
      <c r="H196" s="62"/>
    </row>
    <row r="197" ht="15.75" customHeight="1">
      <c r="A197" s="74"/>
      <c r="B197" s="61"/>
      <c r="C197" s="61"/>
      <c r="H197" s="62"/>
    </row>
    <row r="198" ht="15.75" customHeight="1">
      <c r="A198" s="74"/>
      <c r="B198" s="61"/>
      <c r="C198" s="61"/>
      <c r="H198" s="62"/>
    </row>
    <row r="199" ht="15.75" customHeight="1">
      <c r="A199" s="74"/>
      <c r="B199" s="61"/>
      <c r="C199" s="61"/>
      <c r="H199" s="62"/>
    </row>
    <row r="200" ht="15.75" customHeight="1">
      <c r="A200" s="74"/>
      <c r="B200" s="61"/>
      <c r="C200" s="61"/>
      <c r="H200" s="62"/>
    </row>
    <row r="201" ht="15.75" customHeight="1">
      <c r="A201" s="74"/>
      <c r="B201" s="61"/>
      <c r="C201" s="61"/>
      <c r="H201" s="62"/>
    </row>
    <row r="202" ht="15.75" customHeight="1">
      <c r="A202" s="74"/>
      <c r="B202" s="61"/>
      <c r="C202" s="61"/>
      <c r="H202" s="62"/>
    </row>
    <row r="203" ht="15.75" customHeight="1">
      <c r="A203" s="74"/>
      <c r="B203" s="61"/>
      <c r="C203" s="61"/>
      <c r="H203" s="62"/>
    </row>
    <row r="204" ht="15.75" customHeight="1">
      <c r="A204" s="74"/>
      <c r="B204" s="61"/>
      <c r="C204" s="61"/>
      <c r="H204" s="62"/>
    </row>
    <row r="205" ht="15.75" customHeight="1">
      <c r="A205" s="74"/>
      <c r="B205" s="61"/>
      <c r="C205" s="61"/>
      <c r="H205" s="62"/>
    </row>
    <row r="206" ht="15.75" customHeight="1">
      <c r="A206" s="74"/>
      <c r="B206" s="61"/>
      <c r="C206" s="61"/>
      <c r="H206" s="62"/>
    </row>
    <row r="207" ht="15.75" customHeight="1">
      <c r="A207" s="74"/>
      <c r="B207" s="61"/>
      <c r="C207" s="61"/>
      <c r="H207" s="62"/>
    </row>
    <row r="208" ht="15.75" customHeight="1">
      <c r="A208" s="74"/>
      <c r="B208" s="61"/>
      <c r="C208" s="61"/>
      <c r="H208" s="62"/>
    </row>
    <row r="209" ht="15.75" customHeight="1">
      <c r="A209" s="74"/>
      <c r="B209" s="61"/>
      <c r="C209" s="61"/>
      <c r="H209" s="62"/>
    </row>
    <row r="210" ht="15.75" customHeight="1">
      <c r="A210" s="74"/>
      <c r="B210" s="61"/>
      <c r="C210" s="61"/>
      <c r="H210" s="62"/>
    </row>
    <row r="211" ht="15.75" customHeight="1">
      <c r="A211" s="74"/>
      <c r="B211" s="61"/>
      <c r="C211" s="61"/>
      <c r="H211" s="62"/>
    </row>
    <row r="212" ht="15.75" customHeight="1">
      <c r="A212" s="74"/>
      <c r="B212" s="61"/>
      <c r="C212" s="61"/>
      <c r="H212" s="62"/>
    </row>
    <row r="213" ht="15.75" customHeight="1">
      <c r="A213" s="74"/>
      <c r="B213" s="61"/>
      <c r="C213" s="61"/>
      <c r="H213" s="62"/>
    </row>
    <row r="214" ht="15.75" customHeight="1">
      <c r="A214" s="74"/>
      <c r="B214" s="61"/>
      <c r="C214" s="61"/>
      <c r="H214" s="62"/>
    </row>
    <row r="215" ht="15.75" customHeight="1">
      <c r="A215" s="74"/>
      <c r="B215" s="61"/>
      <c r="C215" s="61"/>
      <c r="H215" s="62"/>
    </row>
    <row r="216" ht="15.75" customHeight="1">
      <c r="A216" s="74"/>
      <c r="B216" s="61"/>
      <c r="C216" s="61"/>
      <c r="H216" s="62"/>
    </row>
    <row r="217" ht="15.75" customHeight="1">
      <c r="A217" s="74"/>
      <c r="B217" s="61"/>
      <c r="C217" s="61"/>
      <c r="H217" s="62"/>
    </row>
    <row r="218" ht="15.75" customHeight="1">
      <c r="A218" s="74"/>
      <c r="B218" s="61"/>
      <c r="C218" s="61"/>
      <c r="H218" s="62"/>
    </row>
    <row r="219" ht="15.75" customHeight="1">
      <c r="A219" s="74"/>
      <c r="B219" s="61"/>
      <c r="C219" s="61"/>
      <c r="H219" s="62"/>
    </row>
    <row r="220" ht="15.75" customHeight="1">
      <c r="A220" s="74"/>
      <c r="B220" s="61"/>
      <c r="C220" s="61"/>
      <c r="H220" s="62"/>
    </row>
    <row r="221" ht="15.75" customHeight="1">
      <c r="A221" s="74"/>
      <c r="B221" s="61"/>
      <c r="C221" s="61"/>
      <c r="H221" s="62"/>
    </row>
    <row r="222" ht="15.75" customHeight="1">
      <c r="A222" s="74"/>
      <c r="B222" s="61"/>
      <c r="C222" s="61"/>
      <c r="H222" s="62"/>
    </row>
    <row r="223" ht="15.75" customHeight="1">
      <c r="A223" s="74"/>
      <c r="B223" s="61"/>
      <c r="C223" s="61"/>
      <c r="H223" s="62"/>
    </row>
    <row r="224" ht="15.75" customHeight="1">
      <c r="A224" s="74"/>
      <c r="B224" s="61"/>
      <c r="C224" s="61"/>
      <c r="H224" s="62"/>
    </row>
    <row r="225" ht="15.75" customHeight="1">
      <c r="A225" s="74"/>
      <c r="B225" s="61"/>
      <c r="C225" s="61"/>
      <c r="H225" s="62"/>
    </row>
    <row r="226" ht="15.75" customHeight="1">
      <c r="A226" s="74"/>
      <c r="B226" s="61"/>
      <c r="C226" s="61"/>
      <c r="H226" s="62"/>
    </row>
    <row r="227" ht="15.75" customHeight="1">
      <c r="A227" s="74"/>
      <c r="B227" s="61"/>
      <c r="C227" s="61"/>
      <c r="H227" s="62"/>
    </row>
    <row r="228" ht="15.75" customHeight="1">
      <c r="A228" s="74"/>
      <c r="B228" s="61"/>
      <c r="C228" s="61"/>
      <c r="H228" s="62"/>
    </row>
    <row r="229" ht="15.75" customHeight="1">
      <c r="A229" s="74"/>
      <c r="B229" s="61"/>
      <c r="C229" s="61"/>
      <c r="H229" s="62"/>
    </row>
    <row r="230" ht="15.75" customHeight="1">
      <c r="A230" s="74"/>
      <c r="B230" s="61"/>
      <c r="C230" s="61"/>
      <c r="H230" s="62"/>
    </row>
    <row r="231" ht="15.75" customHeight="1">
      <c r="A231" s="74"/>
      <c r="B231" s="61"/>
      <c r="C231" s="61"/>
      <c r="H231" s="62"/>
    </row>
    <row r="232" ht="15.75" customHeight="1">
      <c r="A232" s="74"/>
      <c r="B232" s="61"/>
      <c r="C232" s="61"/>
      <c r="H232" s="62"/>
    </row>
    <row r="233" ht="15.75" customHeight="1">
      <c r="A233" s="74"/>
      <c r="B233" s="61"/>
      <c r="C233" s="61"/>
      <c r="H233" s="62"/>
    </row>
    <row r="234" ht="15.75" customHeight="1">
      <c r="A234" s="74"/>
      <c r="B234" s="61"/>
      <c r="C234" s="61"/>
      <c r="H234" s="62"/>
    </row>
    <row r="235" ht="15.75" customHeight="1">
      <c r="A235" s="74"/>
      <c r="B235" s="61"/>
      <c r="C235" s="61"/>
      <c r="H235" s="62"/>
    </row>
    <row r="236" ht="15.75" customHeight="1">
      <c r="A236" s="74"/>
      <c r="B236" s="61"/>
      <c r="C236" s="61"/>
      <c r="H236" s="62"/>
    </row>
    <row r="237" ht="15.75" customHeight="1">
      <c r="A237" s="74"/>
      <c r="B237" s="61"/>
      <c r="C237" s="61"/>
      <c r="H237" s="62"/>
    </row>
    <row r="238" ht="15.75" customHeight="1">
      <c r="A238" s="74"/>
      <c r="B238" s="61"/>
      <c r="C238" s="61"/>
      <c r="H238" s="62"/>
    </row>
    <row r="239" ht="15.75" customHeight="1">
      <c r="A239" s="74"/>
      <c r="B239" s="61"/>
      <c r="C239" s="61"/>
      <c r="H239" s="62"/>
    </row>
    <row r="240" ht="15.75" customHeight="1">
      <c r="A240" s="74"/>
      <c r="B240" s="61"/>
      <c r="C240" s="61"/>
      <c r="H240" s="62"/>
    </row>
    <row r="241" ht="15.75" customHeight="1">
      <c r="A241" s="74"/>
      <c r="B241" s="61"/>
      <c r="C241" s="61"/>
      <c r="H241" s="62"/>
    </row>
    <row r="242" ht="15.75" customHeight="1">
      <c r="A242" s="74"/>
      <c r="B242" s="61"/>
      <c r="C242" s="61"/>
      <c r="H242" s="6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3">
    <mergeCell ref="A2:A8"/>
    <mergeCell ref="B2:B6"/>
    <mergeCell ref="B7:B8"/>
    <mergeCell ref="A9:C9"/>
    <mergeCell ref="A10:A16"/>
    <mergeCell ref="B10:B13"/>
    <mergeCell ref="B14:B16"/>
    <mergeCell ref="A17:C17"/>
    <mergeCell ref="A18:A25"/>
    <mergeCell ref="B18:B21"/>
    <mergeCell ref="B22:B25"/>
    <mergeCell ref="A26:C26"/>
    <mergeCell ref="A27:A28"/>
    <mergeCell ref="B27:B28"/>
    <mergeCell ref="A29:C29"/>
    <mergeCell ref="A31:C31"/>
    <mergeCell ref="A32:A35"/>
    <mergeCell ref="B33:B35"/>
    <mergeCell ref="A36:C36"/>
    <mergeCell ref="A37:A41"/>
    <mergeCell ref="B37:B38"/>
    <mergeCell ref="B39:B41"/>
    <mergeCell ref="A42:C4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B400E5-005B-4D3B-919A-00B7009F008D}">
            <xm:f>"D6"</xm:f>
            <x14:dxf>
              <fill>
                <patternFill patternType="solid">
                  <fgColor rgb="FFFF6D01"/>
                  <bgColor rgb="FFFF6D01"/>
                </patternFill>
              </fill>
            </x14:dxf>
          </x14:cfRule>
          <xm:sqref>D3:G3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E0012-0099-4A4B-B5DA-007E008500D5}" type="list" allowBlank="1" errorStyle="stop" imeMode="noControl" operator="between" showDropDown="0" showErrorMessage="0" showInputMessage="0">
          <x14:formula1>
            <xm:f>"0,1,2"</xm:f>
          </x14:formula1>
          <xm:sqref>H2:H8</xm:sqref>
        </x14:dataValidation>
        <x14:dataValidation xr:uid="{00FA00EA-00A4-45B9-AA18-006300FC0084}" type="list" allowBlank="1" errorStyle="stop" imeMode="noControl" operator="between" showDropDown="0" showErrorMessage="1" showInputMessage="0">
          <x14:formula1>
            <xm:f>"0,1,2"</xm:f>
          </x14:formula1>
          <xm:sqref>D2:G8 D10:H16 D18:H25 D27:H28 D30:H30 D32:H35 D37:H41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9" zoomScale="110" workbookViewId="0">
      <selection activeCell="B2" activeCellId="0" sqref="B2"/>
    </sheetView>
  </sheetViews>
  <sheetFormatPr defaultColWidth="12.6640625" defaultRowHeight="15" customHeight="1"/>
  <cols>
    <col customWidth="1" min="1" max="1" width="4.6640625"/>
    <col customWidth="1" min="2" max="2" width="56.6640625"/>
    <col customWidth="1" min="3" max="3" width="13.6640625"/>
    <col customWidth="1" min="4" max="6" style="10" width="13.6640625"/>
    <col customWidth="1" min="7" max="7" width="13.6640625"/>
    <col customWidth="1" min="8" max="8" width="20.44140625"/>
    <col customWidth="1" min="9" max="9" width="12.6640625"/>
    <col customWidth="1" min="10" max="10" width="22.88671875"/>
  </cols>
  <sheetData>
    <row r="1" ht="25.5">
      <c r="A1" s="126"/>
      <c r="B1" s="127" t="s">
        <v>24</v>
      </c>
      <c r="C1" s="128" t="s">
        <v>25</v>
      </c>
      <c r="D1" s="128" t="s">
        <v>192</v>
      </c>
      <c r="E1" s="128" t="s">
        <v>193</v>
      </c>
      <c r="F1" s="129" t="s">
        <v>194</v>
      </c>
      <c r="G1" s="129" t="s">
        <v>77</v>
      </c>
      <c r="H1" s="128" t="s">
        <v>30</v>
      </c>
    </row>
    <row r="2" ht="51">
      <c r="A2" s="130" t="s">
        <v>31</v>
      </c>
      <c r="B2" s="24" t="s">
        <v>177</v>
      </c>
      <c r="C2" s="95">
        <v>0</v>
      </c>
      <c r="D2" s="95">
        <v>0</v>
      </c>
      <c r="E2" s="95">
        <v>0</v>
      </c>
      <c r="F2" s="95">
        <v>0</v>
      </c>
      <c r="G2" s="22">
        <v>0</v>
      </c>
      <c r="H2" s="131"/>
    </row>
    <row r="3" ht="49.200000000000003" customHeight="1">
      <c r="A3" s="132"/>
      <c r="B3" s="24" t="s">
        <v>178</v>
      </c>
      <c r="C3" s="95">
        <v>0</v>
      </c>
      <c r="D3" s="95">
        <v>0</v>
      </c>
      <c r="E3" s="95">
        <v>0</v>
      </c>
      <c r="F3" s="95">
        <v>0</v>
      </c>
      <c r="G3" s="22">
        <v>0</v>
      </c>
      <c r="H3" s="131"/>
    </row>
    <row r="4" ht="15.75" customHeight="1">
      <c r="A4" s="133" t="s">
        <v>41</v>
      </c>
      <c r="B4" s="134"/>
      <c r="C4" s="135">
        <f t="shared" ref="C4:G4" si="46">AVERAGE(C3)</f>
        <v>0</v>
      </c>
      <c r="D4" s="135">
        <f t="shared" si="46"/>
        <v>0</v>
      </c>
      <c r="E4" s="135">
        <f t="shared" si="46"/>
        <v>0</v>
      </c>
      <c r="F4" s="135">
        <f t="shared" si="46"/>
        <v>0</v>
      </c>
      <c r="G4" s="135">
        <f t="shared" si="46"/>
        <v>0</v>
      </c>
      <c r="H4" s="131"/>
    </row>
    <row r="5" ht="25.5">
      <c r="A5" s="136" t="s">
        <v>42</v>
      </c>
      <c r="B5" s="24" t="s">
        <v>179</v>
      </c>
      <c r="C5" s="95">
        <v>0</v>
      </c>
      <c r="D5" s="95">
        <v>0</v>
      </c>
      <c r="E5" s="95">
        <v>0</v>
      </c>
      <c r="F5" s="95">
        <v>0</v>
      </c>
      <c r="G5" s="22">
        <v>0</v>
      </c>
      <c r="H5" s="131"/>
    </row>
    <row r="6" ht="51">
      <c r="A6" s="137"/>
      <c r="B6" s="21" t="s">
        <v>180</v>
      </c>
      <c r="C6" s="95">
        <v>0</v>
      </c>
      <c r="D6" s="95">
        <v>0</v>
      </c>
      <c r="E6" s="95">
        <v>0</v>
      </c>
      <c r="F6" s="95">
        <v>0</v>
      </c>
      <c r="G6" s="22">
        <v>0</v>
      </c>
      <c r="H6" s="131"/>
    </row>
    <row r="7" ht="36" customHeight="1">
      <c r="A7" s="132"/>
      <c r="B7" s="21" t="s">
        <v>181</v>
      </c>
      <c r="C7" s="95">
        <v>0</v>
      </c>
      <c r="D7" s="95">
        <v>0</v>
      </c>
      <c r="E7" s="95">
        <v>0</v>
      </c>
      <c r="F7" s="95">
        <v>0</v>
      </c>
      <c r="G7" s="22">
        <v>0</v>
      </c>
      <c r="H7" s="131"/>
    </row>
    <row r="8" ht="15.75" customHeight="1">
      <c r="A8" s="133" t="s">
        <v>41</v>
      </c>
      <c r="B8" s="134"/>
      <c r="C8" s="138">
        <f t="shared" ref="C8:G8" si="47">AVERAGE(C5:C7)</f>
        <v>0</v>
      </c>
      <c r="D8" s="138">
        <f t="shared" si="47"/>
        <v>0</v>
      </c>
      <c r="E8" s="138">
        <f t="shared" si="47"/>
        <v>0</v>
      </c>
      <c r="F8" s="138">
        <f t="shared" si="47"/>
        <v>0</v>
      </c>
      <c r="G8" s="138">
        <f t="shared" si="47"/>
        <v>0</v>
      </c>
      <c r="H8" s="131"/>
    </row>
    <row r="9" ht="13.199999999999999">
      <c r="A9" s="139" t="s">
        <v>54</v>
      </c>
      <c r="B9" s="24" t="s">
        <v>182</v>
      </c>
      <c r="C9" s="95">
        <v>0</v>
      </c>
      <c r="D9" s="95">
        <v>0</v>
      </c>
      <c r="E9" s="95">
        <v>0</v>
      </c>
      <c r="F9" s="95">
        <v>0</v>
      </c>
      <c r="G9" s="95">
        <v>0</v>
      </c>
      <c r="H9" s="131"/>
    </row>
    <row r="10" ht="25.5">
      <c r="A10" s="137"/>
      <c r="B10" s="21" t="s">
        <v>183</v>
      </c>
      <c r="C10" s="95">
        <v>0</v>
      </c>
      <c r="D10" s="95">
        <v>0</v>
      </c>
      <c r="E10" s="95">
        <v>0</v>
      </c>
      <c r="F10" s="95">
        <v>0</v>
      </c>
      <c r="G10" s="95">
        <v>0</v>
      </c>
      <c r="H10" s="131"/>
    </row>
    <row r="11" ht="25.5">
      <c r="A11" s="137"/>
      <c r="B11" s="24" t="s">
        <v>184</v>
      </c>
      <c r="C11" s="95">
        <v>0</v>
      </c>
      <c r="D11" s="95">
        <v>0</v>
      </c>
      <c r="E11" s="95">
        <v>0</v>
      </c>
      <c r="F11" s="95">
        <v>0</v>
      </c>
      <c r="G11" s="95">
        <v>0</v>
      </c>
      <c r="H11" s="131"/>
    </row>
    <row r="12" ht="25.5">
      <c r="A12" s="132"/>
      <c r="B12" s="24" t="s">
        <v>185</v>
      </c>
      <c r="C12" s="95">
        <v>0</v>
      </c>
      <c r="D12" s="95">
        <v>0</v>
      </c>
      <c r="E12" s="95">
        <v>0</v>
      </c>
      <c r="F12" s="95">
        <v>0</v>
      </c>
      <c r="G12" s="95">
        <v>0</v>
      </c>
      <c r="H12" s="131"/>
    </row>
    <row r="13" ht="15.75" customHeight="1">
      <c r="A13" s="133" t="s">
        <v>41</v>
      </c>
      <c r="B13" s="134"/>
      <c r="C13" s="138">
        <f t="shared" ref="C13:G13" si="48">AVERAGE(C9:C12)</f>
        <v>0</v>
      </c>
      <c r="D13" s="138">
        <f t="shared" si="48"/>
        <v>0</v>
      </c>
      <c r="E13" s="138">
        <f t="shared" si="48"/>
        <v>0</v>
      </c>
      <c r="F13" s="138">
        <f t="shared" si="48"/>
        <v>0</v>
      </c>
      <c r="G13" s="138">
        <f t="shared" si="48"/>
        <v>0</v>
      </c>
      <c r="H13" s="131"/>
    </row>
    <row r="14" ht="51.75" customHeight="1">
      <c r="A14" s="57" t="s">
        <v>56</v>
      </c>
      <c r="B14" s="24" t="s">
        <v>147</v>
      </c>
      <c r="C14" s="95">
        <v>0</v>
      </c>
      <c r="D14" s="95">
        <v>0</v>
      </c>
      <c r="E14" s="95">
        <v>0</v>
      </c>
      <c r="F14" s="95">
        <v>0</v>
      </c>
      <c r="G14" s="95">
        <v>0</v>
      </c>
      <c r="H14" s="131"/>
    </row>
    <row r="15" ht="51" customHeight="1">
      <c r="A15" s="87"/>
      <c r="B15" s="24" t="s">
        <v>148</v>
      </c>
      <c r="C15" s="95">
        <v>0</v>
      </c>
      <c r="D15" s="95">
        <v>0</v>
      </c>
      <c r="E15" s="95">
        <v>0</v>
      </c>
      <c r="F15" s="95">
        <v>0</v>
      </c>
      <c r="G15" s="95">
        <v>0</v>
      </c>
      <c r="H15" s="131"/>
      <c r="J15" s="43" t="s">
        <v>24</v>
      </c>
      <c r="K15" s="44" t="s">
        <v>48</v>
      </c>
      <c r="L15" s="43" t="s">
        <v>49</v>
      </c>
      <c r="M15" s="43" t="s">
        <v>195</v>
      </c>
    </row>
    <row r="16" ht="15.75" customHeight="1">
      <c r="A16" s="133" t="s">
        <v>41</v>
      </c>
      <c r="B16" s="134"/>
      <c r="C16" s="138">
        <f t="shared" ref="C16:G16" si="49">AVERAGE(C14:C15)</f>
        <v>0</v>
      </c>
      <c r="D16" s="138">
        <f t="shared" si="49"/>
        <v>0</v>
      </c>
      <c r="E16" s="138">
        <f t="shared" si="49"/>
        <v>0</v>
      </c>
      <c r="F16" s="138">
        <f t="shared" si="49"/>
        <v>0</v>
      </c>
      <c r="G16" s="138">
        <f t="shared" si="49"/>
        <v>0</v>
      </c>
      <c r="H16" s="131"/>
      <c r="J16" s="46" t="s">
        <v>31</v>
      </c>
      <c r="K16" s="47">
        <f>C4</f>
        <v>0</v>
      </c>
      <c r="L16" s="49">
        <v>1.5</v>
      </c>
      <c r="M16" s="49">
        <v>2</v>
      </c>
    </row>
    <row r="17" ht="43.799999999999997" customHeight="1">
      <c r="A17" s="140" t="s">
        <v>57</v>
      </c>
      <c r="B17" s="24" t="s">
        <v>196</v>
      </c>
      <c r="C17" s="95">
        <v>0</v>
      </c>
      <c r="D17" s="95">
        <v>0</v>
      </c>
      <c r="E17" s="95">
        <v>0</v>
      </c>
      <c r="F17" s="95">
        <v>0</v>
      </c>
      <c r="G17" s="95">
        <v>0</v>
      </c>
      <c r="H17" s="131"/>
      <c r="J17" s="50" t="s">
        <v>42</v>
      </c>
      <c r="K17" s="47">
        <f>C8</f>
        <v>0</v>
      </c>
      <c r="L17" s="49">
        <v>1.5</v>
      </c>
      <c r="M17" s="49">
        <v>2</v>
      </c>
    </row>
    <row r="18" ht="15.75" customHeight="1">
      <c r="A18" s="133" t="s">
        <v>41</v>
      </c>
      <c r="B18" s="134"/>
      <c r="C18" s="138">
        <f t="shared" ref="C18:G18" si="50">AVERAGE(C17)</f>
        <v>0</v>
      </c>
      <c r="D18" s="138">
        <f t="shared" si="50"/>
        <v>0</v>
      </c>
      <c r="E18" s="138">
        <f t="shared" si="50"/>
        <v>0</v>
      </c>
      <c r="F18" s="138">
        <f t="shared" si="50"/>
        <v>0</v>
      </c>
      <c r="G18" s="138">
        <f t="shared" si="50"/>
        <v>0</v>
      </c>
      <c r="H18" s="131"/>
      <c r="J18" s="43" t="s">
        <v>54</v>
      </c>
      <c r="K18" s="47">
        <f>C13</f>
        <v>0</v>
      </c>
      <c r="L18" s="49">
        <v>1.5</v>
      </c>
      <c r="M18" s="49">
        <v>2</v>
      </c>
    </row>
    <row r="19" ht="25.5">
      <c r="A19" s="141" t="s">
        <v>59</v>
      </c>
      <c r="B19" s="24" t="s">
        <v>186</v>
      </c>
      <c r="C19" s="95">
        <v>0</v>
      </c>
      <c r="D19" s="95">
        <v>0</v>
      </c>
      <c r="E19" s="95">
        <v>0</v>
      </c>
      <c r="F19" s="95">
        <v>0</v>
      </c>
      <c r="G19" s="95">
        <v>0</v>
      </c>
      <c r="H19" s="131"/>
      <c r="J19" s="55" t="s">
        <v>56</v>
      </c>
      <c r="K19" s="47">
        <f>C16</f>
        <v>0</v>
      </c>
      <c r="L19" s="49">
        <v>1.5</v>
      </c>
      <c r="M19" s="49">
        <v>2</v>
      </c>
    </row>
    <row r="20" ht="25.5">
      <c r="A20" s="137"/>
      <c r="B20" s="24" t="s">
        <v>187</v>
      </c>
      <c r="C20" s="95">
        <v>0</v>
      </c>
      <c r="D20" s="95">
        <v>0</v>
      </c>
      <c r="E20" s="95">
        <v>0</v>
      </c>
      <c r="F20" s="95">
        <v>0</v>
      </c>
      <c r="G20" s="95">
        <v>0</v>
      </c>
      <c r="H20" s="131"/>
      <c r="J20" s="56" t="s">
        <v>57</v>
      </c>
      <c r="K20" s="47">
        <f>C18</f>
        <v>0</v>
      </c>
      <c r="L20" s="49">
        <v>1.5</v>
      </c>
      <c r="M20" s="49">
        <v>2</v>
      </c>
    </row>
    <row r="21" ht="38.25">
      <c r="A21" s="132"/>
      <c r="B21" s="24" t="s">
        <v>188</v>
      </c>
      <c r="C21" s="95">
        <v>0</v>
      </c>
      <c r="D21" s="95">
        <v>0</v>
      </c>
      <c r="E21" s="95">
        <v>0</v>
      </c>
      <c r="F21" s="95">
        <v>0</v>
      </c>
      <c r="G21" s="95">
        <v>0</v>
      </c>
      <c r="H21" s="131"/>
      <c r="J21" s="58" t="s">
        <v>59</v>
      </c>
      <c r="K21" s="47">
        <f>C22</f>
        <v>0</v>
      </c>
      <c r="L21" s="49">
        <v>1.5</v>
      </c>
      <c r="M21" s="49">
        <v>2</v>
      </c>
    </row>
    <row r="22" ht="17.25" customHeight="1">
      <c r="A22" s="133" t="s">
        <v>41</v>
      </c>
      <c r="B22" s="134"/>
      <c r="C22" s="135">
        <f t="shared" ref="C22:G26" si="51">AVERAGE(C19:C21)</f>
        <v>0</v>
      </c>
      <c r="D22" s="135">
        <f t="shared" si="51"/>
        <v>0</v>
      </c>
      <c r="E22" s="135">
        <f t="shared" si="51"/>
        <v>0</v>
      </c>
      <c r="F22" s="135">
        <f t="shared" si="51"/>
        <v>0</v>
      </c>
      <c r="G22" s="135">
        <f t="shared" si="51"/>
        <v>0</v>
      </c>
      <c r="H22" s="131"/>
      <c r="J22" s="59" t="s">
        <v>61</v>
      </c>
      <c r="K22" s="47">
        <f>C26</f>
        <v>0</v>
      </c>
      <c r="L22" s="49">
        <v>1.5</v>
      </c>
      <c r="M22" s="49">
        <v>2</v>
      </c>
    </row>
    <row r="23" ht="39.75" customHeight="1">
      <c r="A23" s="142" t="s">
        <v>70</v>
      </c>
      <c r="B23" s="24" t="s">
        <v>189</v>
      </c>
      <c r="C23" s="95">
        <v>0</v>
      </c>
      <c r="D23" s="95">
        <v>0</v>
      </c>
      <c r="E23" s="95">
        <v>0</v>
      </c>
      <c r="F23" s="95">
        <v>0</v>
      </c>
      <c r="G23" s="95">
        <v>0</v>
      </c>
      <c r="H23" s="131"/>
    </row>
    <row r="24" ht="45.75" customHeight="1">
      <c r="A24" s="137"/>
      <c r="B24" s="24" t="s">
        <v>190</v>
      </c>
      <c r="C24" s="95">
        <v>0</v>
      </c>
      <c r="D24" s="95">
        <v>0</v>
      </c>
      <c r="E24" s="95">
        <v>0</v>
      </c>
      <c r="F24" s="95">
        <v>0</v>
      </c>
      <c r="G24" s="95">
        <v>0</v>
      </c>
      <c r="H24" s="131"/>
    </row>
    <row r="25" ht="53.25" customHeight="1">
      <c r="A25" s="132"/>
      <c r="B25" s="24" t="s">
        <v>191</v>
      </c>
      <c r="C25" s="95">
        <v>0</v>
      </c>
      <c r="D25" s="95">
        <v>0</v>
      </c>
      <c r="E25" s="95">
        <v>0</v>
      </c>
      <c r="F25" s="95">
        <v>0</v>
      </c>
      <c r="G25" s="95">
        <v>0</v>
      </c>
      <c r="H25" s="131"/>
    </row>
    <row r="26" ht="15.75" customHeight="1">
      <c r="A26" s="133" t="s">
        <v>41</v>
      </c>
      <c r="B26" s="134"/>
      <c r="C26" s="135">
        <f t="shared" si="51"/>
        <v>0</v>
      </c>
      <c r="D26" s="135">
        <f t="shared" si="51"/>
        <v>0</v>
      </c>
      <c r="E26" s="135">
        <f t="shared" si="51"/>
        <v>0</v>
      </c>
      <c r="F26" s="135">
        <f t="shared" si="51"/>
        <v>0</v>
      </c>
      <c r="G26" s="135">
        <f t="shared" si="51"/>
        <v>0</v>
      </c>
      <c r="H26" s="131"/>
    </row>
    <row r="27" ht="15.75" customHeight="1">
      <c r="A27" s="74"/>
      <c r="B27" s="61"/>
      <c r="C27" s="75"/>
      <c r="D27" s="75"/>
      <c r="E27" s="75"/>
      <c r="F27" s="75"/>
      <c r="G27" s="62"/>
    </row>
    <row r="28" ht="15.75" customHeight="1">
      <c r="A28" s="74"/>
    </row>
    <row r="29" ht="15.75" customHeight="1">
      <c r="A29" s="74"/>
    </row>
    <row r="30" ht="15.75" customHeight="1">
      <c r="A30" s="74"/>
    </row>
    <row r="31" ht="15.75" customHeight="1">
      <c r="A31" s="74"/>
    </row>
    <row r="32" ht="15.75" customHeight="1">
      <c r="A32" s="74"/>
    </row>
    <row r="33" ht="15.75" customHeight="1">
      <c r="A33" s="74"/>
    </row>
    <row r="34" ht="15.75" customHeight="1">
      <c r="A34" s="74"/>
    </row>
    <row r="35" ht="15.75" customHeight="1">
      <c r="A35" s="74"/>
    </row>
    <row r="36" ht="15.75" customHeight="1">
      <c r="A36" s="74"/>
      <c r="B36" s="61"/>
      <c r="G36" s="62"/>
    </row>
    <row r="37" ht="15.75" customHeight="1">
      <c r="A37" s="74"/>
      <c r="B37" s="61"/>
      <c r="G37" s="62"/>
    </row>
    <row r="38" ht="15.75" customHeight="1">
      <c r="A38" s="74"/>
      <c r="B38" s="61"/>
      <c r="G38" s="62"/>
    </row>
    <row r="39" ht="15.75" customHeight="1">
      <c r="A39" s="74"/>
      <c r="B39" s="61"/>
      <c r="G39" s="62"/>
    </row>
    <row r="40" ht="15.75" customHeight="1">
      <c r="A40" s="74"/>
      <c r="B40" s="61"/>
      <c r="G40" s="62"/>
    </row>
    <row r="41" ht="15.75" customHeight="1">
      <c r="A41" s="74"/>
      <c r="B41" s="61"/>
      <c r="G41" s="62"/>
    </row>
    <row r="42" ht="15.75" customHeight="1">
      <c r="A42" s="74"/>
      <c r="B42" s="61"/>
      <c r="G42" s="62"/>
    </row>
    <row r="43" ht="15.75" customHeight="1">
      <c r="A43" s="74"/>
      <c r="B43" s="61"/>
      <c r="G43" s="62"/>
    </row>
    <row r="44" ht="15.75" customHeight="1">
      <c r="A44" s="74"/>
      <c r="B44" s="61"/>
      <c r="G44" s="62"/>
    </row>
    <row r="45" ht="15.75" customHeight="1">
      <c r="A45" s="74"/>
      <c r="B45" s="61"/>
      <c r="G45" s="62"/>
    </row>
    <row r="46" ht="15.75" customHeight="1">
      <c r="A46" s="74"/>
      <c r="B46" s="61"/>
      <c r="G46" s="62"/>
    </row>
    <row r="47" ht="15.75" customHeight="1">
      <c r="A47" s="74"/>
      <c r="B47" s="61"/>
      <c r="G47" s="62"/>
    </row>
    <row r="48" ht="15.75" customHeight="1">
      <c r="A48" s="74"/>
      <c r="B48" s="61"/>
      <c r="G48" s="62"/>
    </row>
    <row r="49" ht="15.75" customHeight="1">
      <c r="A49" s="74"/>
      <c r="B49" s="61"/>
      <c r="G49" s="62"/>
    </row>
    <row r="50" ht="15.75" customHeight="1">
      <c r="A50" s="74"/>
      <c r="B50" s="61"/>
      <c r="G50" s="62"/>
    </row>
    <row r="51" ht="15.75" customHeight="1">
      <c r="A51" s="74"/>
      <c r="B51" s="61"/>
      <c r="G51" s="62"/>
    </row>
    <row r="52" ht="15.75" customHeight="1">
      <c r="A52" s="74"/>
      <c r="B52" s="61"/>
      <c r="G52" s="62"/>
    </row>
    <row r="53" ht="15.75" customHeight="1">
      <c r="A53" s="74"/>
      <c r="B53" s="61"/>
      <c r="G53" s="62"/>
    </row>
    <row r="54" ht="15.75" customHeight="1">
      <c r="A54" s="74"/>
      <c r="B54" s="61"/>
      <c r="G54" s="62"/>
    </row>
    <row r="55" ht="15.75" customHeight="1">
      <c r="A55" s="74"/>
      <c r="B55" s="61"/>
      <c r="G55" s="62"/>
    </row>
    <row r="56" ht="15.75" customHeight="1">
      <c r="A56" s="74"/>
      <c r="B56" s="61"/>
      <c r="G56" s="62"/>
    </row>
    <row r="57" ht="15.75" customHeight="1">
      <c r="A57" s="74"/>
      <c r="B57" s="61"/>
      <c r="G57" s="62"/>
    </row>
    <row r="58" ht="15.75" customHeight="1">
      <c r="A58" s="74"/>
      <c r="B58" s="61"/>
      <c r="G58" s="62"/>
    </row>
    <row r="59" ht="15.75" customHeight="1">
      <c r="A59" s="74"/>
      <c r="B59" s="61"/>
      <c r="G59" s="62"/>
    </row>
    <row r="60" ht="15.75" customHeight="1">
      <c r="A60" s="74"/>
      <c r="B60" s="61"/>
      <c r="G60" s="62"/>
    </row>
    <row r="61" ht="15.75" customHeight="1">
      <c r="A61" s="74"/>
      <c r="B61" s="61"/>
      <c r="G61" s="62"/>
    </row>
    <row r="62" ht="15.75" customHeight="1">
      <c r="A62" s="74"/>
      <c r="B62" s="61"/>
      <c r="G62" s="62"/>
    </row>
    <row r="63" ht="15.75" customHeight="1">
      <c r="A63" s="74"/>
      <c r="B63" s="61"/>
      <c r="G63" s="62"/>
    </row>
    <row r="64" ht="15.75" customHeight="1">
      <c r="A64" s="74"/>
      <c r="B64" s="61"/>
      <c r="G64" s="62"/>
    </row>
    <row r="65" ht="15.75" customHeight="1">
      <c r="A65" s="74"/>
      <c r="B65" s="61"/>
      <c r="G65" s="62"/>
    </row>
    <row r="66" ht="15.75" customHeight="1">
      <c r="A66" s="74"/>
      <c r="B66" s="61"/>
      <c r="G66" s="62"/>
    </row>
    <row r="67" ht="15.75" customHeight="1">
      <c r="A67" s="74"/>
      <c r="B67" s="61"/>
      <c r="G67" s="62"/>
    </row>
    <row r="68" ht="15.75" customHeight="1">
      <c r="A68" s="74"/>
      <c r="B68" s="61"/>
      <c r="G68" s="62"/>
    </row>
    <row r="69" ht="15.75" customHeight="1">
      <c r="A69" s="74"/>
      <c r="B69" s="61"/>
      <c r="G69" s="62"/>
    </row>
    <row r="70" ht="15.75" customHeight="1">
      <c r="A70" s="74"/>
      <c r="B70" s="61"/>
      <c r="G70" s="62"/>
    </row>
    <row r="71" ht="15.75" customHeight="1">
      <c r="A71" s="74"/>
      <c r="B71" s="61"/>
      <c r="G71" s="62"/>
    </row>
    <row r="72" ht="15.75" customHeight="1">
      <c r="A72" s="74"/>
      <c r="B72" s="61"/>
      <c r="G72" s="62"/>
    </row>
    <row r="73" ht="15.75" customHeight="1">
      <c r="A73" s="74"/>
      <c r="B73" s="61"/>
      <c r="G73" s="62"/>
    </row>
    <row r="74" ht="15.75" customHeight="1">
      <c r="A74" s="74"/>
      <c r="B74" s="61"/>
      <c r="G74" s="62"/>
    </row>
    <row r="75" ht="15.75" customHeight="1">
      <c r="A75" s="74"/>
      <c r="B75" s="61"/>
      <c r="G75" s="62"/>
    </row>
    <row r="76" ht="15.75" customHeight="1">
      <c r="A76" s="74"/>
      <c r="B76" s="61"/>
      <c r="G76" s="62"/>
    </row>
    <row r="77" ht="15.75" customHeight="1">
      <c r="A77" s="74"/>
      <c r="B77" s="61"/>
      <c r="G77" s="62"/>
    </row>
    <row r="78" ht="15.75" customHeight="1">
      <c r="A78" s="74"/>
      <c r="B78" s="61"/>
      <c r="G78" s="62"/>
    </row>
    <row r="79" ht="15.75" customHeight="1">
      <c r="A79" s="74"/>
      <c r="B79" s="61"/>
      <c r="G79" s="62"/>
    </row>
    <row r="80" ht="15.75" customHeight="1">
      <c r="A80" s="74"/>
      <c r="B80" s="61"/>
      <c r="G80" s="62"/>
    </row>
    <row r="81" ht="15.75" customHeight="1">
      <c r="A81" s="74"/>
      <c r="B81" s="61"/>
      <c r="G81" s="62"/>
    </row>
    <row r="82" ht="15.75" customHeight="1">
      <c r="A82" s="74"/>
      <c r="B82" s="61"/>
      <c r="G82" s="62"/>
    </row>
    <row r="83" ht="15.75" customHeight="1">
      <c r="A83" s="74"/>
      <c r="B83" s="61"/>
      <c r="G83" s="62"/>
    </row>
    <row r="84" ht="15.75" customHeight="1">
      <c r="A84" s="74"/>
      <c r="B84" s="61"/>
      <c r="G84" s="62"/>
    </row>
    <row r="85" ht="15.75" customHeight="1">
      <c r="A85" s="74"/>
      <c r="B85" s="61"/>
      <c r="G85" s="62"/>
    </row>
    <row r="86" ht="15.75" customHeight="1">
      <c r="A86" s="74"/>
      <c r="B86" s="61"/>
      <c r="G86" s="62"/>
    </row>
    <row r="87" ht="15.75" customHeight="1">
      <c r="A87" s="74"/>
      <c r="B87" s="61"/>
      <c r="G87" s="62"/>
    </row>
    <row r="88" ht="15.75" customHeight="1">
      <c r="A88" s="74"/>
      <c r="B88" s="61"/>
      <c r="G88" s="62"/>
    </row>
    <row r="89" ht="15.75" customHeight="1">
      <c r="A89" s="74"/>
      <c r="B89" s="61"/>
      <c r="G89" s="62"/>
    </row>
    <row r="90" ht="15.75" customHeight="1">
      <c r="A90" s="74"/>
      <c r="B90" s="61"/>
      <c r="G90" s="62"/>
    </row>
    <row r="91" ht="15.75" customHeight="1">
      <c r="A91" s="74"/>
      <c r="B91" s="61"/>
      <c r="G91" s="62"/>
    </row>
    <row r="92" ht="15.75" customHeight="1">
      <c r="A92" s="74"/>
      <c r="B92" s="61"/>
      <c r="G92" s="62"/>
    </row>
    <row r="93" ht="15.75" customHeight="1">
      <c r="A93" s="74"/>
      <c r="B93" s="61"/>
      <c r="G93" s="62"/>
    </row>
    <row r="94" ht="15.75" customHeight="1">
      <c r="A94" s="74"/>
      <c r="B94" s="61"/>
      <c r="G94" s="62"/>
    </row>
    <row r="95" ht="15.75" customHeight="1">
      <c r="A95" s="74"/>
      <c r="B95" s="61"/>
      <c r="G95" s="62"/>
    </row>
    <row r="96" ht="15.75" customHeight="1">
      <c r="A96" s="74"/>
      <c r="B96" s="61"/>
      <c r="G96" s="62"/>
    </row>
    <row r="97" ht="15.75" customHeight="1">
      <c r="A97" s="74"/>
      <c r="B97" s="61"/>
      <c r="G97" s="62"/>
    </row>
    <row r="98" ht="15.75" customHeight="1">
      <c r="A98" s="74"/>
      <c r="B98" s="61"/>
      <c r="G98" s="62"/>
    </row>
    <row r="99" ht="15.75" customHeight="1">
      <c r="A99" s="74"/>
      <c r="B99" s="61"/>
      <c r="G99" s="62"/>
    </row>
    <row r="100" ht="15.75" customHeight="1">
      <c r="A100" s="74"/>
      <c r="B100" s="61"/>
      <c r="G100" s="62"/>
    </row>
    <row r="101" ht="15.75" customHeight="1">
      <c r="A101" s="74"/>
      <c r="B101" s="61"/>
      <c r="G101" s="62"/>
    </row>
    <row r="102" ht="15.75" customHeight="1">
      <c r="A102" s="74"/>
      <c r="B102" s="61"/>
      <c r="G102" s="62"/>
    </row>
    <row r="103" ht="15.75" customHeight="1">
      <c r="A103" s="74"/>
      <c r="B103" s="61"/>
      <c r="G103" s="62"/>
    </row>
    <row r="104" ht="15.75" customHeight="1">
      <c r="A104" s="74"/>
      <c r="B104" s="61"/>
      <c r="G104" s="62"/>
    </row>
    <row r="105" ht="15.75" customHeight="1">
      <c r="A105" s="74"/>
      <c r="B105" s="61"/>
      <c r="G105" s="62"/>
    </row>
    <row r="106" ht="15.75" customHeight="1">
      <c r="A106" s="74"/>
      <c r="B106" s="61"/>
      <c r="G106" s="62"/>
    </row>
    <row r="107" ht="15.75" customHeight="1">
      <c r="A107" s="74"/>
      <c r="B107" s="61"/>
      <c r="G107" s="62"/>
    </row>
    <row r="108" ht="15.75" customHeight="1">
      <c r="A108" s="74"/>
      <c r="B108" s="61"/>
      <c r="G108" s="62"/>
    </row>
    <row r="109" ht="15.75" customHeight="1">
      <c r="A109" s="74"/>
      <c r="B109" s="61"/>
      <c r="G109" s="62"/>
    </row>
    <row r="110" ht="15.75" customHeight="1">
      <c r="A110" s="74"/>
      <c r="B110" s="61"/>
      <c r="G110" s="62"/>
    </row>
    <row r="111" ht="15.75" customHeight="1">
      <c r="A111" s="74"/>
      <c r="B111" s="61"/>
      <c r="G111" s="62"/>
    </row>
    <row r="112" ht="15.75" customHeight="1">
      <c r="A112" s="74"/>
      <c r="B112" s="61"/>
      <c r="G112" s="62"/>
    </row>
    <row r="113" ht="15.75" customHeight="1">
      <c r="A113" s="74"/>
      <c r="B113" s="61"/>
      <c r="G113" s="62"/>
    </row>
    <row r="114" ht="15.75" customHeight="1">
      <c r="A114" s="74"/>
      <c r="B114" s="61"/>
      <c r="G114" s="62"/>
    </row>
    <row r="115" ht="15.75" customHeight="1">
      <c r="A115" s="74"/>
      <c r="B115" s="61"/>
      <c r="G115" s="62"/>
    </row>
    <row r="116" ht="15.75" customHeight="1">
      <c r="A116" s="74"/>
      <c r="B116" s="61"/>
      <c r="G116" s="62"/>
    </row>
    <row r="117" ht="15.75" customHeight="1">
      <c r="A117" s="74"/>
      <c r="B117" s="61"/>
      <c r="G117" s="62"/>
    </row>
    <row r="118" ht="15.75" customHeight="1">
      <c r="A118" s="74"/>
      <c r="B118" s="61"/>
      <c r="G118" s="62"/>
    </row>
    <row r="119" ht="15.75" customHeight="1">
      <c r="A119" s="74"/>
      <c r="B119" s="61"/>
      <c r="G119" s="62"/>
    </row>
    <row r="120" ht="15.75" customHeight="1">
      <c r="A120" s="74"/>
      <c r="B120" s="61"/>
      <c r="G120" s="62"/>
    </row>
    <row r="121" ht="15.75" customHeight="1">
      <c r="A121" s="74"/>
      <c r="B121" s="61"/>
      <c r="G121" s="62"/>
    </row>
    <row r="122" ht="15.75" customHeight="1">
      <c r="A122" s="74"/>
      <c r="B122" s="61"/>
      <c r="G122" s="62"/>
    </row>
    <row r="123" ht="15.75" customHeight="1">
      <c r="A123" s="74"/>
      <c r="B123" s="61"/>
      <c r="G123" s="62"/>
    </row>
    <row r="124" ht="15.75" customHeight="1">
      <c r="A124" s="74"/>
      <c r="B124" s="61"/>
      <c r="G124" s="62"/>
    </row>
    <row r="125" ht="15.75" customHeight="1">
      <c r="A125" s="74"/>
      <c r="B125" s="61"/>
      <c r="G125" s="62"/>
    </row>
    <row r="126" ht="15.75" customHeight="1">
      <c r="A126" s="74"/>
      <c r="B126" s="61"/>
      <c r="G126" s="62"/>
    </row>
    <row r="127" ht="15.75" customHeight="1">
      <c r="A127" s="74"/>
      <c r="B127" s="61"/>
      <c r="G127" s="62"/>
    </row>
    <row r="128" ht="15.75" customHeight="1">
      <c r="A128" s="74"/>
      <c r="B128" s="61"/>
      <c r="G128" s="62"/>
    </row>
    <row r="129" ht="15.75" customHeight="1">
      <c r="A129" s="74"/>
      <c r="B129" s="61"/>
      <c r="G129" s="62"/>
    </row>
    <row r="130" ht="15.75" customHeight="1">
      <c r="A130" s="74"/>
      <c r="B130" s="61"/>
      <c r="G130" s="62"/>
    </row>
    <row r="131" ht="15.75" customHeight="1">
      <c r="A131" s="74"/>
      <c r="B131" s="61"/>
      <c r="G131" s="62"/>
    </row>
    <row r="132" ht="15.75" customHeight="1">
      <c r="A132" s="74"/>
      <c r="B132" s="61"/>
      <c r="G132" s="62"/>
    </row>
    <row r="133" ht="15.75" customHeight="1">
      <c r="A133" s="74"/>
      <c r="B133" s="61"/>
      <c r="G133" s="62"/>
    </row>
    <row r="134" ht="15.75" customHeight="1">
      <c r="A134" s="74"/>
      <c r="B134" s="61"/>
      <c r="G134" s="62"/>
    </row>
    <row r="135" ht="15.75" customHeight="1">
      <c r="A135" s="74"/>
      <c r="B135" s="61"/>
      <c r="G135" s="62"/>
    </row>
    <row r="136" ht="15.75" customHeight="1">
      <c r="A136" s="74"/>
      <c r="B136" s="61"/>
      <c r="G136" s="62"/>
    </row>
    <row r="137" ht="15.75" customHeight="1">
      <c r="A137" s="74"/>
      <c r="B137" s="61"/>
      <c r="G137" s="62"/>
    </row>
    <row r="138" ht="15.75" customHeight="1">
      <c r="A138" s="74"/>
      <c r="B138" s="61"/>
      <c r="G138" s="62"/>
    </row>
    <row r="139" ht="15.75" customHeight="1">
      <c r="A139" s="74"/>
      <c r="B139" s="61"/>
      <c r="G139" s="62"/>
    </row>
    <row r="140" ht="15.75" customHeight="1">
      <c r="A140" s="74"/>
      <c r="B140" s="61"/>
      <c r="G140" s="62"/>
    </row>
    <row r="141" ht="15.75" customHeight="1">
      <c r="A141" s="74"/>
      <c r="B141" s="61"/>
      <c r="G141" s="62"/>
    </row>
    <row r="142" ht="15.75" customHeight="1">
      <c r="A142" s="74"/>
      <c r="B142" s="61"/>
      <c r="G142" s="62"/>
    </row>
    <row r="143" ht="15.75" customHeight="1">
      <c r="A143" s="74"/>
      <c r="B143" s="61"/>
      <c r="G143" s="62"/>
    </row>
    <row r="144" ht="15.75" customHeight="1">
      <c r="A144" s="74"/>
      <c r="B144" s="61"/>
      <c r="G144" s="62"/>
    </row>
    <row r="145" ht="15.75" customHeight="1">
      <c r="A145" s="74"/>
      <c r="B145" s="61"/>
      <c r="G145" s="62"/>
    </row>
    <row r="146" ht="15.75" customHeight="1">
      <c r="A146" s="74"/>
      <c r="B146" s="61"/>
      <c r="G146" s="62"/>
    </row>
    <row r="147" ht="15.75" customHeight="1">
      <c r="A147" s="74"/>
      <c r="B147" s="61"/>
      <c r="G147" s="62"/>
    </row>
    <row r="148" ht="15.75" customHeight="1">
      <c r="A148" s="74"/>
      <c r="B148" s="61"/>
      <c r="G148" s="62"/>
    </row>
    <row r="149" ht="15.75" customHeight="1">
      <c r="A149" s="74"/>
      <c r="B149" s="61"/>
      <c r="G149" s="62"/>
    </row>
    <row r="150" ht="15.75" customHeight="1">
      <c r="A150" s="74"/>
      <c r="B150" s="61"/>
      <c r="G150" s="62"/>
    </row>
    <row r="151" ht="15.75" customHeight="1">
      <c r="A151" s="74"/>
      <c r="B151" s="61"/>
      <c r="G151" s="62"/>
    </row>
    <row r="152" ht="15.75" customHeight="1">
      <c r="A152" s="74"/>
      <c r="B152" s="61"/>
      <c r="G152" s="62"/>
    </row>
    <row r="153" ht="15.75" customHeight="1">
      <c r="A153" s="74"/>
      <c r="B153" s="61"/>
      <c r="G153" s="62"/>
    </row>
    <row r="154" ht="15.75" customHeight="1">
      <c r="A154" s="74"/>
      <c r="B154" s="61"/>
      <c r="G154" s="62"/>
    </row>
    <row r="155" ht="15.75" customHeight="1">
      <c r="A155" s="74"/>
      <c r="B155" s="61"/>
      <c r="G155" s="62"/>
    </row>
    <row r="156" ht="15.75" customHeight="1">
      <c r="A156" s="74"/>
      <c r="B156" s="61"/>
      <c r="G156" s="62"/>
    </row>
    <row r="157" ht="15.75" customHeight="1">
      <c r="A157" s="74"/>
      <c r="B157" s="61"/>
      <c r="G157" s="62"/>
    </row>
    <row r="158" ht="15.75" customHeight="1">
      <c r="A158" s="74"/>
      <c r="B158" s="61"/>
      <c r="G158" s="62"/>
    </row>
    <row r="159" ht="15.75" customHeight="1">
      <c r="A159" s="74"/>
      <c r="B159" s="61"/>
      <c r="G159" s="62"/>
    </row>
    <row r="160" ht="15.75" customHeight="1">
      <c r="A160" s="74"/>
      <c r="B160" s="61"/>
      <c r="G160" s="62"/>
    </row>
    <row r="161" ht="15.75" customHeight="1">
      <c r="A161" s="74"/>
      <c r="B161" s="61"/>
      <c r="G161" s="62"/>
    </row>
    <row r="162" ht="15.75" customHeight="1">
      <c r="A162" s="74"/>
      <c r="B162" s="61"/>
      <c r="G162" s="62"/>
    </row>
    <row r="163" ht="15.75" customHeight="1">
      <c r="A163" s="74"/>
      <c r="B163" s="61"/>
      <c r="G163" s="62"/>
    </row>
    <row r="164" ht="15.75" customHeight="1">
      <c r="A164" s="74"/>
      <c r="B164" s="61"/>
      <c r="G164" s="62"/>
    </row>
    <row r="165" ht="15.75" customHeight="1">
      <c r="A165" s="74"/>
      <c r="B165" s="61"/>
      <c r="G165" s="62"/>
    </row>
    <row r="166" ht="15.75" customHeight="1">
      <c r="A166" s="74"/>
      <c r="B166" s="61"/>
      <c r="G166" s="62"/>
    </row>
    <row r="167" ht="15.75" customHeight="1">
      <c r="A167" s="74"/>
      <c r="B167" s="61"/>
      <c r="G167" s="62"/>
    </row>
    <row r="168" ht="15.75" customHeight="1">
      <c r="A168" s="74"/>
      <c r="B168" s="61"/>
      <c r="G168" s="62"/>
    </row>
    <row r="169" ht="15.75" customHeight="1">
      <c r="A169" s="74"/>
      <c r="B169" s="61"/>
      <c r="G169" s="62"/>
    </row>
    <row r="170" ht="15.75" customHeight="1">
      <c r="A170" s="74"/>
      <c r="B170" s="61"/>
      <c r="G170" s="62"/>
    </row>
    <row r="171" ht="15.75" customHeight="1">
      <c r="A171" s="74"/>
      <c r="B171" s="61"/>
      <c r="G171" s="62"/>
    </row>
    <row r="172" ht="15.75" customHeight="1">
      <c r="A172" s="74"/>
      <c r="B172" s="61"/>
      <c r="G172" s="62"/>
    </row>
    <row r="173" ht="15.75" customHeight="1">
      <c r="A173" s="74"/>
      <c r="B173" s="61"/>
      <c r="G173" s="62"/>
    </row>
    <row r="174" ht="15.75" customHeight="1">
      <c r="A174" s="74"/>
      <c r="B174" s="61"/>
      <c r="G174" s="62"/>
    </row>
    <row r="175" ht="15.75" customHeight="1">
      <c r="A175" s="74"/>
      <c r="B175" s="61"/>
      <c r="G175" s="62"/>
    </row>
    <row r="176" ht="15.75" customHeight="1">
      <c r="A176" s="74"/>
      <c r="B176" s="61"/>
      <c r="G176" s="62"/>
    </row>
    <row r="177" ht="15.75" customHeight="1">
      <c r="A177" s="74"/>
      <c r="B177" s="61"/>
      <c r="G177" s="62"/>
    </row>
    <row r="178" ht="15.75" customHeight="1">
      <c r="A178" s="74"/>
      <c r="B178" s="61"/>
      <c r="G178" s="62"/>
    </row>
    <row r="179" ht="15.75" customHeight="1">
      <c r="A179" s="74"/>
      <c r="B179" s="61"/>
      <c r="G179" s="62"/>
    </row>
    <row r="180" ht="15.75" customHeight="1">
      <c r="A180" s="74"/>
      <c r="B180" s="61"/>
      <c r="G180" s="62"/>
    </row>
    <row r="181" ht="15.75" customHeight="1">
      <c r="A181" s="74"/>
      <c r="B181" s="61"/>
      <c r="G181" s="62"/>
    </row>
    <row r="182" ht="15.75" customHeight="1">
      <c r="A182" s="74"/>
      <c r="B182" s="61"/>
      <c r="G182" s="62"/>
    </row>
    <row r="183" ht="15.75" customHeight="1">
      <c r="A183" s="74"/>
      <c r="B183" s="61"/>
      <c r="G183" s="62"/>
    </row>
    <row r="184" ht="15.75" customHeight="1">
      <c r="A184" s="74"/>
      <c r="B184" s="61"/>
      <c r="G184" s="62"/>
    </row>
    <row r="185" ht="15.75" customHeight="1">
      <c r="A185" s="74"/>
      <c r="B185" s="61"/>
      <c r="G185" s="62"/>
    </row>
    <row r="186" ht="15.75" customHeight="1">
      <c r="A186" s="74"/>
      <c r="B186" s="61"/>
      <c r="G186" s="62"/>
    </row>
    <row r="187" ht="15.75" customHeight="1">
      <c r="A187" s="74"/>
      <c r="B187" s="61"/>
      <c r="G187" s="62"/>
    </row>
    <row r="188" ht="15.75" customHeight="1">
      <c r="A188" s="74"/>
      <c r="B188" s="61"/>
      <c r="G188" s="62"/>
    </row>
    <row r="189" ht="15.75" customHeight="1">
      <c r="A189" s="74"/>
      <c r="B189" s="61"/>
      <c r="G189" s="62"/>
    </row>
    <row r="190" ht="15.75" customHeight="1">
      <c r="A190" s="74"/>
      <c r="B190" s="61"/>
      <c r="G190" s="62"/>
    </row>
    <row r="191" ht="15.75" customHeight="1">
      <c r="A191" s="74"/>
      <c r="B191" s="61"/>
      <c r="G191" s="62"/>
    </row>
    <row r="192" ht="15.75" customHeight="1">
      <c r="A192" s="74"/>
      <c r="B192" s="61"/>
      <c r="G192" s="62"/>
    </row>
    <row r="193" ht="15.75" customHeight="1">
      <c r="A193" s="74"/>
      <c r="B193" s="61"/>
      <c r="G193" s="62"/>
    </row>
    <row r="194" ht="15.75" customHeight="1">
      <c r="A194" s="74"/>
      <c r="B194" s="61"/>
      <c r="G194" s="62"/>
    </row>
    <row r="195" ht="15.75" customHeight="1">
      <c r="A195" s="74"/>
      <c r="B195" s="61"/>
      <c r="G195" s="62"/>
    </row>
    <row r="196" ht="15.75" customHeight="1">
      <c r="A196" s="74"/>
      <c r="B196" s="61"/>
      <c r="G196" s="62"/>
    </row>
    <row r="197" ht="15.75" customHeight="1">
      <c r="A197" s="74"/>
      <c r="B197" s="61"/>
      <c r="G197" s="62"/>
    </row>
    <row r="198" ht="15.75" customHeight="1">
      <c r="A198" s="74"/>
      <c r="B198" s="61"/>
      <c r="G198" s="62"/>
    </row>
    <row r="199" ht="15.75" customHeight="1">
      <c r="A199" s="74"/>
      <c r="B199" s="61"/>
      <c r="G199" s="62"/>
    </row>
    <row r="200" ht="15.75" customHeight="1">
      <c r="A200" s="74"/>
      <c r="B200" s="61"/>
      <c r="G200" s="62"/>
    </row>
    <row r="201" ht="15.75" customHeight="1">
      <c r="A201" s="74"/>
      <c r="B201" s="61"/>
      <c r="G201" s="62"/>
    </row>
    <row r="202" ht="15.75" customHeight="1">
      <c r="A202" s="74"/>
      <c r="B202" s="61"/>
      <c r="G202" s="62"/>
    </row>
    <row r="203" ht="15.75" customHeight="1">
      <c r="A203" s="74"/>
      <c r="B203" s="61"/>
      <c r="G203" s="62"/>
    </row>
    <row r="204" ht="15.75" customHeight="1">
      <c r="A204" s="74"/>
      <c r="B204" s="61"/>
      <c r="G204" s="62"/>
    </row>
    <row r="205" ht="15.75" customHeight="1">
      <c r="A205" s="74"/>
      <c r="B205" s="61"/>
      <c r="G205" s="62"/>
    </row>
    <row r="206" ht="15.75" customHeight="1">
      <c r="A206" s="74"/>
      <c r="B206" s="61"/>
      <c r="G206" s="62"/>
    </row>
    <row r="207" ht="15.75" customHeight="1">
      <c r="A207" s="74"/>
      <c r="B207" s="61"/>
      <c r="G207" s="62"/>
    </row>
    <row r="208" ht="15.75" customHeight="1">
      <c r="A208" s="74"/>
      <c r="B208" s="61"/>
      <c r="G208" s="62"/>
    </row>
    <row r="209" ht="15.75" customHeight="1">
      <c r="A209" s="74"/>
      <c r="B209" s="61"/>
      <c r="G209" s="62"/>
    </row>
    <row r="210" ht="15.75" customHeight="1">
      <c r="A210" s="74"/>
      <c r="B210" s="61"/>
      <c r="G210" s="62"/>
    </row>
    <row r="211" ht="15.75" customHeight="1">
      <c r="A211" s="74"/>
      <c r="B211" s="61"/>
      <c r="G211" s="62"/>
    </row>
    <row r="212" ht="15.75" customHeight="1">
      <c r="A212" s="74"/>
      <c r="B212" s="61"/>
      <c r="G212" s="62"/>
    </row>
    <row r="213" ht="15.75" customHeight="1">
      <c r="A213" s="74"/>
      <c r="B213" s="61"/>
      <c r="G213" s="62"/>
    </row>
    <row r="214" ht="15.75" customHeight="1">
      <c r="A214" s="74"/>
      <c r="B214" s="61"/>
      <c r="G214" s="62"/>
    </row>
    <row r="215" ht="15.75" customHeight="1">
      <c r="A215" s="74"/>
      <c r="B215" s="61"/>
      <c r="G215" s="62"/>
    </row>
    <row r="216" ht="15.75" customHeight="1">
      <c r="A216" s="74"/>
      <c r="B216" s="61"/>
      <c r="G216" s="62"/>
    </row>
    <row r="217" ht="15.75" customHeight="1">
      <c r="A217" s="74"/>
      <c r="B217" s="61"/>
      <c r="G217" s="62"/>
    </row>
    <row r="218" ht="15.75" customHeight="1">
      <c r="A218" s="74"/>
      <c r="B218" s="61"/>
      <c r="G218" s="62"/>
    </row>
    <row r="219" ht="15.75" customHeight="1">
      <c r="A219" s="74"/>
      <c r="B219" s="61"/>
      <c r="G219" s="62"/>
    </row>
    <row r="220" ht="15.75" customHeight="1">
      <c r="A220" s="74"/>
      <c r="B220" s="61"/>
      <c r="G220" s="62"/>
    </row>
    <row r="221" ht="15.75" customHeight="1">
      <c r="A221" s="74"/>
      <c r="B221" s="61"/>
      <c r="G221" s="62"/>
    </row>
    <row r="222" ht="15.75" customHeight="1">
      <c r="A222" s="74"/>
      <c r="B222" s="61"/>
      <c r="G222" s="62"/>
    </row>
    <row r="223" ht="15.75" customHeight="1">
      <c r="A223" s="74"/>
      <c r="B223" s="61"/>
      <c r="G223" s="62"/>
    </row>
    <row r="224" ht="15.75" customHeight="1">
      <c r="A224" s="74"/>
      <c r="B224" s="61"/>
      <c r="G224" s="62"/>
    </row>
    <row r="225" ht="15.75" customHeight="1">
      <c r="A225" s="74"/>
      <c r="B225" s="61"/>
      <c r="G225" s="62"/>
    </row>
    <row r="226" ht="15.75" customHeight="1">
      <c r="A226" s="74"/>
      <c r="B226" s="61"/>
      <c r="G226" s="6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:A3"/>
    <mergeCell ref="A4:B4"/>
    <mergeCell ref="A5:A7"/>
    <mergeCell ref="A8:B8"/>
    <mergeCell ref="A9:A12"/>
    <mergeCell ref="A13:B13"/>
    <mergeCell ref="A14:A15"/>
    <mergeCell ref="A16:B16"/>
    <mergeCell ref="A18:B18"/>
    <mergeCell ref="A19:A21"/>
    <mergeCell ref="A22:B22"/>
    <mergeCell ref="A23:A25"/>
    <mergeCell ref="A26:B2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400B6-00DF-4167-9F1E-008300AB0074}" type="list" allowBlank="1" errorStyle="stop" imeMode="noControl" operator="between" showDropDown="0" showErrorMessage="0" showInputMessage="0">
          <x14:formula1>
            <xm:f>"0,1,2"</xm:f>
          </x14:formula1>
          <xm:sqref>G2:G3</xm:sqref>
        </x14:dataValidation>
        <x14:dataValidation xr:uid="{009E006E-0074-42C9-B36A-008F006D007F}" type="list" allowBlank="1" errorStyle="stop" imeMode="noControl" operator="between" showDropDown="0" showErrorMessage="1" showInputMessage="0">
          <x14:formula1>
            <xm:f>"0,1,2"</xm:f>
          </x14:formula1>
          <xm:sqref>C2:F3 C5:G7 C9:G12 C14:G15 C17:G17 C19:G21 C23:G25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4" zoomScale="110" workbookViewId="0">
      <selection activeCell="G7" activeCellId="0" sqref="G7"/>
    </sheetView>
  </sheetViews>
  <sheetFormatPr defaultColWidth="12.6640625" defaultRowHeight="15" customHeight="1"/>
  <cols>
    <col customWidth="1" min="1" max="1" width="4.6640625"/>
    <col customWidth="1" min="2" max="2" width="56.6640625"/>
    <col bestFit="1" customWidth="1" min="3" max="3" width="12.21875"/>
    <col customWidth="1" min="4" max="4" style="10" width="12.21875"/>
    <col customWidth="1" min="5" max="5" style="10" width="14"/>
    <col customWidth="1" min="6" max="6" width="11.44140625"/>
    <col customWidth="1" min="7" max="7" width="21.33203125"/>
    <col customWidth="1" min="8" max="8" width="12.6640625"/>
  </cols>
  <sheetData>
    <row r="1" ht="25.5">
      <c r="A1" s="126"/>
      <c r="B1" s="127" t="s">
        <v>24</v>
      </c>
      <c r="C1" s="128" t="s">
        <v>25</v>
      </c>
      <c r="D1" s="128" t="s">
        <v>193</v>
      </c>
      <c r="E1" s="129" t="s">
        <v>194</v>
      </c>
      <c r="F1" s="129" t="s">
        <v>77</v>
      </c>
      <c r="G1" s="128" t="s">
        <v>30</v>
      </c>
    </row>
    <row r="2" ht="66" customHeight="1">
      <c r="A2" s="143" t="s">
        <v>31</v>
      </c>
      <c r="B2" s="24" t="s">
        <v>197</v>
      </c>
      <c r="C2" s="22">
        <v>0</v>
      </c>
      <c r="D2" s="22">
        <v>0</v>
      </c>
      <c r="E2" s="22">
        <v>0</v>
      </c>
      <c r="F2" s="22">
        <v>0</v>
      </c>
      <c r="G2" s="78"/>
    </row>
    <row r="3" s="10" customFormat="1" ht="76.200000000000003" customHeight="1">
      <c r="A3" s="144"/>
      <c r="B3" s="145" t="s">
        <v>198</v>
      </c>
      <c r="C3" s="22">
        <v>0</v>
      </c>
      <c r="D3" s="22">
        <v>0</v>
      </c>
      <c r="E3" s="22">
        <v>0</v>
      </c>
      <c r="F3" s="22">
        <v>0</v>
      </c>
      <c r="G3" s="78"/>
    </row>
    <row r="4" ht="15.75" customHeight="1">
      <c r="A4" s="133" t="s">
        <v>41</v>
      </c>
      <c r="B4" s="134"/>
      <c r="C4" s="135">
        <f>AVERAGE(C2,C3)</f>
        <v>0</v>
      </c>
      <c r="D4" s="135">
        <f>AVERAGE(D2,D3)</f>
        <v>0</v>
      </c>
      <c r="E4" s="135">
        <f>AVERAGE(E2,E3)</f>
        <v>0</v>
      </c>
      <c r="F4" s="135">
        <f>AVERAGE(F2,F3)</f>
        <v>0</v>
      </c>
      <c r="G4" s="131"/>
    </row>
    <row r="5" ht="102">
      <c r="A5" s="136" t="s">
        <v>42</v>
      </c>
      <c r="B5" s="24" t="s">
        <v>199</v>
      </c>
      <c r="C5" s="22">
        <v>0</v>
      </c>
      <c r="D5" s="22">
        <v>0</v>
      </c>
      <c r="E5" s="22">
        <v>0</v>
      </c>
      <c r="F5" s="22">
        <v>0</v>
      </c>
      <c r="G5" s="78"/>
    </row>
    <row r="6" ht="51">
      <c r="A6" s="137"/>
      <c r="B6" s="24" t="s">
        <v>200</v>
      </c>
      <c r="C6" s="95">
        <v>0</v>
      </c>
      <c r="D6" s="95">
        <v>0</v>
      </c>
      <c r="E6" s="95">
        <v>0</v>
      </c>
      <c r="F6" s="95">
        <v>0</v>
      </c>
      <c r="G6" s="78"/>
    </row>
    <row r="7" ht="51">
      <c r="A7" s="132"/>
      <c r="B7" s="21" t="s">
        <v>201</v>
      </c>
      <c r="C7" s="22">
        <v>0</v>
      </c>
      <c r="D7" s="22">
        <v>0</v>
      </c>
      <c r="E7" s="22">
        <v>0</v>
      </c>
      <c r="F7" s="22">
        <v>0</v>
      </c>
      <c r="G7" s="78"/>
    </row>
    <row r="8" ht="15.75" customHeight="1">
      <c r="A8" s="133" t="s">
        <v>41</v>
      </c>
      <c r="B8" s="134"/>
      <c r="C8" s="138">
        <f t="shared" ref="C8:F8" si="52">AVERAGE(C5:C7)</f>
        <v>0</v>
      </c>
      <c r="D8" s="138">
        <f t="shared" si="52"/>
        <v>0</v>
      </c>
      <c r="E8" s="138">
        <f t="shared" si="52"/>
        <v>0</v>
      </c>
      <c r="F8" s="138">
        <f t="shared" si="52"/>
        <v>0</v>
      </c>
      <c r="G8" s="131"/>
    </row>
    <row r="9" ht="93.75" customHeight="1">
      <c r="A9" s="146" t="s">
        <v>50</v>
      </c>
      <c r="B9" s="24" t="s">
        <v>202</v>
      </c>
      <c r="C9" s="95">
        <v>0</v>
      </c>
      <c r="D9" s="95">
        <v>0</v>
      </c>
      <c r="E9" s="95">
        <v>0</v>
      </c>
      <c r="F9" s="95">
        <v>0</v>
      </c>
      <c r="G9" s="131"/>
    </row>
    <row r="10" ht="15.75" customHeight="1">
      <c r="A10" s="133" t="s">
        <v>41</v>
      </c>
      <c r="B10" s="134"/>
      <c r="C10" s="138">
        <f t="shared" ref="C10:F10" si="53">AVERAGE(C9)</f>
        <v>0</v>
      </c>
      <c r="D10" s="138">
        <f t="shared" si="53"/>
        <v>0</v>
      </c>
      <c r="E10" s="138">
        <f t="shared" si="53"/>
        <v>0</v>
      </c>
      <c r="F10" s="138">
        <f t="shared" si="53"/>
        <v>0</v>
      </c>
      <c r="G10" s="131"/>
    </row>
    <row r="11" ht="51.75" customHeight="1">
      <c r="A11" s="57" t="s">
        <v>56</v>
      </c>
      <c r="B11" s="78" t="s">
        <v>147</v>
      </c>
      <c r="C11" s="95">
        <v>0</v>
      </c>
      <c r="D11" s="95">
        <v>0</v>
      </c>
      <c r="E11" s="95">
        <v>0</v>
      </c>
      <c r="F11" s="95">
        <v>0</v>
      </c>
      <c r="G11" s="131"/>
    </row>
    <row r="12" ht="51" customHeight="1">
      <c r="A12" s="87"/>
      <c r="B12" s="78" t="s">
        <v>148</v>
      </c>
      <c r="C12" s="95">
        <v>0</v>
      </c>
      <c r="D12" s="95">
        <v>0</v>
      </c>
      <c r="E12" s="95">
        <v>0</v>
      </c>
      <c r="F12" s="95">
        <v>0</v>
      </c>
      <c r="G12" s="131"/>
      <c r="I12" s="43" t="s">
        <v>24</v>
      </c>
      <c r="J12" s="44" t="s">
        <v>48</v>
      </c>
      <c r="K12" s="43" t="s">
        <v>49</v>
      </c>
      <c r="L12" s="43" t="s">
        <v>195</v>
      </c>
    </row>
    <row r="13" ht="15.75" customHeight="1">
      <c r="A13" s="133" t="s">
        <v>41</v>
      </c>
      <c r="B13" s="134"/>
      <c r="C13" s="138">
        <f t="shared" ref="C13:F13" si="54">AVERAGE(C11:C12)</f>
        <v>0</v>
      </c>
      <c r="D13" s="138">
        <f t="shared" si="54"/>
        <v>0</v>
      </c>
      <c r="E13" s="138">
        <f t="shared" si="54"/>
        <v>0</v>
      </c>
      <c r="F13" s="138">
        <f t="shared" si="54"/>
        <v>0</v>
      </c>
      <c r="G13" s="131"/>
      <c r="I13" s="46" t="s">
        <v>31</v>
      </c>
      <c r="J13" s="47">
        <f>C4</f>
        <v>0</v>
      </c>
      <c r="K13" s="49">
        <v>1.5</v>
      </c>
      <c r="L13" s="49">
        <v>2</v>
      </c>
    </row>
    <row r="14" ht="51" customHeight="1">
      <c r="A14" s="140" t="s">
        <v>57</v>
      </c>
      <c r="B14" s="24" t="s">
        <v>203</v>
      </c>
      <c r="C14" s="95">
        <v>0</v>
      </c>
      <c r="D14" s="95">
        <v>0</v>
      </c>
      <c r="E14" s="95">
        <v>0</v>
      </c>
      <c r="F14" s="95">
        <v>0</v>
      </c>
      <c r="G14" s="131"/>
      <c r="I14" s="50" t="s">
        <v>42</v>
      </c>
      <c r="J14" s="47">
        <f>C8</f>
        <v>0</v>
      </c>
      <c r="K14" s="49">
        <v>1.5</v>
      </c>
      <c r="L14" s="49">
        <v>2</v>
      </c>
    </row>
    <row r="15" ht="15.75" customHeight="1">
      <c r="A15" s="133" t="s">
        <v>41</v>
      </c>
      <c r="B15" s="134"/>
      <c r="C15" s="138">
        <f t="shared" ref="C15:F15" si="55">AVERAGE(C14)</f>
        <v>0</v>
      </c>
      <c r="D15" s="138">
        <f t="shared" si="55"/>
        <v>0</v>
      </c>
      <c r="E15" s="138">
        <f t="shared" si="55"/>
        <v>0</v>
      </c>
      <c r="F15" s="138">
        <f t="shared" si="55"/>
        <v>0</v>
      </c>
      <c r="G15" s="131"/>
      <c r="I15" s="43" t="s">
        <v>54</v>
      </c>
      <c r="J15" s="47">
        <f>C10</f>
        <v>0</v>
      </c>
      <c r="K15" s="49">
        <v>1.5</v>
      </c>
      <c r="L15" s="49">
        <v>2</v>
      </c>
    </row>
    <row r="16" ht="41.399999999999999" customHeight="1">
      <c r="A16" s="141" t="s">
        <v>59</v>
      </c>
      <c r="B16" s="24" t="s">
        <v>204</v>
      </c>
      <c r="C16" s="95">
        <v>0</v>
      </c>
      <c r="D16" s="95">
        <v>0</v>
      </c>
      <c r="E16" s="95">
        <v>0</v>
      </c>
      <c r="F16" s="95">
        <v>0</v>
      </c>
      <c r="G16" s="131"/>
      <c r="I16" s="55" t="s">
        <v>56</v>
      </c>
      <c r="J16" s="47">
        <f>C13</f>
        <v>0</v>
      </c>
      <c r="K16" s="49">
        <v>1.5</v>
      </c>
      <c r="L16" s="49">
        <v>2</v>
      </c>
    </row>
    <row r="17" ht="36.600000000000001" customHeight="1">
      <c r="A17" s="132"/>
      <c r="B17" s="24" t="s">
        <v>205</v>
      </c>
      <c r="C17" s="95">
        <v>0</v>
      </c>
      <c r="D17" s="95">
        <v>0</v>
      </c>
      <c r="E17" s="95">
        <v>0</v>
      </c>
      <c r="F17" s="95">
        <v>0</v>
      </c>
      <c r="G17" s="131"/>
      <c r="I17" s="56" t="s">
        <v>57</v>
      </c>
      <c r="J17" s="47">
        <f>C15</f>
        <v>0</v>
      </c>
      <c r="K17" s="49">
        <v>1.5</v>
      </c>
      <c r="L17" s="49">
        <v>2</v>
      </c>
    </row>
    <row r="18" ht="27" customHeight="1">
      <c r="A18" s="133" t="s">
        <v>41</v>
      </c>
      <c r="B18" s="134"/>
      <c r="C18" s="135">
        <f t="shared" ref="C18:F18" si="56">AVERAGE(C16:C17)</f>
        <v>0</v>
      </c>
      <c r="D18" s="135">
        <f t="shared" si="56"/>
        <v>0</v>
      </c>
      <c r="E18" s="135">
        <f t="shared" si="56"/>
        <v>0</v>
      </c>
      <c r="F18" s="135">
        <f t="shared" si="56"/>
        <v>0</v>
      </c>
      <c r="G18" s="131"/>
      <c r="I18" s="58" t="s">
        <v>59</v>
      </c>
      <c r="J18" s="47">
        <f>C18</f>
        <v>0</v>
      </c>
      <c r="K18" s="49">
        <v>1.5</v>
      </c>
      <c r="L18" s="49">
        <v>2</v>
      </c>
    </row>
    <row r="19" ht="39.75" customHeight="1">
      <c r="A19" s="142" t="s">
        <v>70</v>
      </c>
      <c r="B19" s="24" t="s">
        <v>206</v>
      </c>
      <c r="C19" s="95">
        <v>0</v>
      </c>
      <c r="D19" s="95">
        <v>0</v>
      </c>
      <c r="E19" s="95">
        <v>0</v>
      </c>
      <c r="F19" s="95">
        <v>0</v>
      </c>
      <c r="G19" s="131"/>
      <c r="I19" s="59" t="s">
        <v>61</v>
      </c>
      <c r="J19" s="47">
        <f>C22</f>
        <v>0</v>
      </c>
      <c r="K19" s="49">
        <v>1.5</v>
      </c>
      <c r="L19" s="49">
        <v>2</v>
      </c>
    </row>
    <row r="20" ht="45.75" customHeight="1">
      <c r="A20" s="137"/>
      <c r="B20" s="24" t="s">
        <v>207</v>
      </c>
      <c r="C20" s="95">
        <v>0</v>
      </c>
      <c r="D20" s="95">
        <v>0</v>
      </c>
      <c r="E20" s="95">
        <v>0</v>
      </c>
      <c r="F20" s="95">
        <v>0</v>
      </c>
      <c r="G20" s="131"/>
    </row>
    <row r="21" ht="53.25" customHeight="1">
      <c r="A21" s="132"/>
      <c r="B21" s="24" t="s">
        <v>208</v>
      </c>
      <c r="C21" s="95">
        <v>0</v>
      </c>
      <c r="D21" s="95">
        <v>0</v>
      </c>
      <c r="E21" s="95">
        <v>0</v>
      </c>
      <c r="F21" s="95">
        <v>0</v>
      </c>
      <c r="G21" s="131"/>
    </row>
    <row r="22" ht="15.75" customHeight="1">
      <c r="A22" s="133" t="s">
        <v>41</v>
      </c>
      <c r="B22" s="134"/>
      <c r="C22" s="135">
        <f t="shared" ref="C22:F22" si="57">AVERAGE(C19:C21)</f>
        <v>0</v>
      </c>
      <c r="D22" s="135">
        <f t="shared" si="57"/>
        <v>0</v>
      </c>
      <c r="E22" s="135">
        <f t="shared" si="57"/>
        <v>0</v>
      </c>
      <c r="F22" s="135">
        <f t="shared" si="57"/>
        <v>0</v>
      </c>
      <c r="G22" s="131"/>
    </row>
    <row r="23" ht="15.75" customHeight="1">
      <c r="A23" s="74"/>
      <c r="B23" s="61"/>
      <c r="C23" s="75"/>
      <c r="D23" s="75"/>
      <c r="E23" s="75"/>
      <c r="F23" s="62"/>
    </row>
    <row r="24" ht="15.75" customHeight="1">
      <c r="A24" s="74"/>
    </row>
    <row r="25" ht="15.75" customHeight="1">
      <c r="A25" s="74"/>
    </row>
    <row r="26" ht="15.75" customHeight="1">
      <c r="A26" s="74"/>
    </row>
    <row r="27" ht="15.75" customHeight="1">
      <c r="A27" s="74"/>
    </row>
    <row r="28" ht="15.75" customHeight="1">
      <c r="A28" s="74"/>
    </row>
    <row r="29" ht="15.75" customHeight="1">
      <c r="A29" s="74"/>
    </row>
    <row r="30" ht="15.75" customHeight="1">
      <c r="A30" s="74"/>
    </row>
    <row r="31" ht="15.75" customHeight="1">
      <c r="A31" s="74"/>
    </row>
    <row r="32" ht="15.75" customHeight="1">
      <c r="A32" s="74"/>
      <c r="B32" s="61"/>
      <c r="F32" s="62"/>
    </row>
    <row r="33" ht="15.75" customHeight="1">
      <c r="A33" s="74"/>
      <c r="B33" s="61"/>
      <c r="F33" s="62"/>
    </row>
    <row r="34" ht="15.75" customHeight="1">
      <c r="A34" s="74"/>
      <c r="B34" s="61"/>
      <c r="F34" s="62"/>
    </row>
    <row r="35" ht="15.75" customHeight="1">
      <c r="A35" s="74"/>
      <c r="B35" s="61"/>
      <c r="F35" s="62"/>
    </row>
    <row r="36" ht="15.75" customHeight="1">
      <c r="A36" s="74"/>
      <c r="B36" s="61"/>
      <c r="F36" s="62"/>
    </row>
    <row r="37" ht="15.75" customHeight="1">
      <c r="A37" s="74"/>
      <c r="B37" s="61"/>
      <c r="F37" s="62"/>
    </row>
    <row r="38" ht="15.75" customHeight="1">
      <c r="A38" s="74"/>
      <c r="B38" s="61"/>
      <c r="F38" s="62"/>
    </row>
    <row r="39" ht="15.75" customHeight="1">
      <c r="A39" s="74"/>
      <c r="B39" s="61"/>
      <c r="F39" s="62"/>
    </row>
    <row r="40" ht="15.75" customHeight="1">
      <c r="A40" s="74"/>
      <c r="B40" s="61"/>
      <c r="F40" s="62"/>
    </row>
    <row r="41" ht="15.75" customHeight="1">
      <c r="A41" s="74"/>
      <c r="B41" s="61"/>
      <c r="F41" s="62"/>
    </row>
    <row r="42" ht="15.75" customHeight="1">
      <c r="A42" s="74"/>
      <c r="B42" s="61"/>
      <c r="F42" s="62"/>
    </row>
    <row r="43" ht="15.75" customHeight="1">
      <c r="A43" s="74"/>
      <c r="B43" s="61"/>
      <c r="F43" s="62"/>
    </row>
    <row r="44" ht="15.75" customHeight="1">
      <c r="A44" s="74"/>
      <c r="B44" s="61"/>
      <c r="F44" s="62"/>
    </row>
    <row r="45" ht="15.75" customHeight="1">
      <c r="A45" s="74"/>
      <c r="B45" s="61"/>
      <c r="F45" s="62"/>
    </row>
    <row r="46" ht="15.75" customHeight="1">
      <c r="A46" s="74"/>
      <c r="B46" s="61"/>
      <c r="F46" s="62"/>
    </row>
    <row r="47" ht="15.75" customHeight="1">
      <c r="A47" s="74"/>
      <c r="B47" s="61"/>
      <c r="F47" s="62"/>
    </row>
    <row r="48" ht="15.75" customHeight="1">
      <c r="A48" s="74"/>
      <c r="B48" s="61"/>
      <c r="F48" s="62"/>
    </row>
    <row r="49" ht="15.75" customHeight="1">
      <c r="A49" s="74"/>
      <c r="B49" s="61"/>
      <c r="F49" s="62"/>
    </row>
    <row r="50" ht="15.75" customHeight="1">
      <c r="A50" s="74"/>
      <c r="B50" s="61"/>
      <c r="F50" s="62"/>
    </row>
    <row r="51" ht="15.75" customHeight="1">
      <c r="A51" s="74"/>
      <c r="B51" s="61"/>
      <c r="F51" s="62"/>
    </row>
    <row r="52" ht="15.75" customHeight="1">
      <c r="A52" s="74"/>
      <c r="B52" s="61"/>
      <c r="F52" s="62"/>
    </row>
    <row r="53" ht="15.75" customHeight="1">
      <c r="A53" s="74"/>
      <c r="B53" s="61"/>
      <c r="F53" s="62"/>
    </row>
    <row r="54" ht="15.75" customHeight="1">
      <c r="A54" s="74"/>
      <c r="B54" s="61"/>
      <c r="F54" s="62"/>
    </row>
    <row r="55" ht="15.75" customHeight="1">
      <c r="A55" s="74"/>
      <c r="B55" s="61"/>
      <c r="F55" s="62"/>
    </row>
    <row r="56" ht="15.75" customHeight="1">
      <c r="A56" s="74"/>
      <c r="B56" s="61"/>
      <c r="F56" s="62"/>
    </row>
    <row r="57" ht="15.75" customHeight="1">
      <c r="A57" s="74"/>
      <c r="B57" s="61"/>
      <c r="F57" s="62"/>
    </row>
    <row r="58" ht="15.75" customHeight="1">
      <c r="A58" s="74"/>
      <c r="B58" s="61"/>
      <c r="F58" s="62"/>
    </row>
    <row r="59" ht="15.75" customHeight="1">
      <c r="A59" s="74"/>
      <c r="B59" s="61"/>
      <c r="F59" s="62"/>
    </row>
    <row r="60" ht="15.75" customHeight="1">
      <c r="A60" s="74"/>
      <c r="B60" s="61"/>
      <c r="F60" s="62"/>
    </row>
    <row r="61" ht="15.75" customHeight="1">
      <c r="A61" s="74"/>
      <c r="B61" s="61"/>
      <c r="F61" s="62"/>
    </row>
    <row r="62" ht="15.75" customHeight="1">
      <c r="A62" s="74"/>
      <c r="B62" s="61"/>
      <c r="F62" s="62"/>
    </row>
    <row r="63" ht="15.75" customHeight="1">
      <c r="A63" s="74"/>
      <c r="B63" s="61"/>
      <c r="F63" s="62"/>
    </row>
    <row r="64" ht="15.75" customHeight="1">
      <c r="A64" s="74"/>
      <c r="B64" s="61"/>
      <c r="F64" s="62"/>
    </row>
    <row r="65" ht="15.75" customHeight="1">
      <c r="A65" s="74"/>
      <c r="B65" s="61"/>
      <c r="F65" s="62"/>
    </row>
    <row r="66" ht="15.75" customHeight="1">
      <c r="A66" s="74"/>
      <c r="B66" s="61"/>
      <c r="F66" s="62"/>
    </row>
    <row r="67" ht="15.75" customHeight="1">
      <c r="A67" s="74"/>
      <c r="B67" s="61"/>
      <c r="F67" s="62"/>
    </row>
    <row r="68" ht="15.75" customHeight="1">
      <c r="A68" s="74"/>
      <c r="B68" s="61"/>
      <c r="F68" s="62"/>
    </row>
    <row r="69" ht="15.75" customHeight="1">
      <c r="A69" s="74"/>
      <c r="B69" s="61"/>
      <c r="F69" s="62"/>
    </row>
    <row r="70" ht="15.75" customHeight="1">
      <c r="A70" s="74"/>
      <c r="B70" s="61"/>
      <c r="F70" s="62"/>
    </row>
    <row r="71" ht="15.75" customHeight="1">
      <c r="A71" s="74"/>
      <c r="B71" s="61"/>
      <c r="F71" s="62"/>
    </row>
    <row r="72" ht="15.75" customHeight="1">
      <c r="A72" s="74"/>
      <c r="B72" s="61"/>
      <c r="F72" s="62"/>
    </row>
    <row r="73" ht="15.75" customHeight="1">
      <c r="A73" s="74"/>
      <c r="B73" s="61"/>
      <c r="F73" s="62"/>
    </row>
    <row r="74" ht="15.75" customHeight="1">
      <c r="A74" s="74"/>
      <c r="B74" s="61"/>
      <c r="F74" s="62"/>
    </row>
    <row r="75" ht="15.75" customHeight="1">
      <c r="A75" s="74"/>
      <c r="B75" s="61"/>
      <c r="F75" s="62"/>
    </row>
    <row r="76" ht="15.75" customHeight="1">
      <c r="A76" s="74"/>
      <c r="B76" s="61"/>
      <c r="F76" s="62"/>
    </row>
    <row r="77" ht="15.75" customHeight="1">
      <c r="A77" s="74"/>
      <c r="B77" s="61"/>
      <c r="F77" s="62"/>
    </row>
    <row r="78" ht="15.75" customHeight="1">
      <c r="A78" s="74"/>
      <c r="B78" s="61"/>
      <c r="F78" s="62"/>
    </row>
    <row r="79" ht="15.75" customHeight="1">
      <c r="A79" s="74"/>
      <c r="B79" s="61"/>
      <c r="F79" s="62"/>
    </row>
    <row r="80" ht="15.75" customHeight="1">
      <c r="A80" s="74"/>
      <c r="B80" s="61"/>
      <c r="F80" s="62"/>
    </row>
    <row r="81" ht="15.75" customHeight="1">
      <c r="A81" s="74"/>
      <c r="B81" s="61"/>
      <c r="F81" s="62"/>
    </row>
    <row r="82" ht="15.75" customHeight="1">
      <c r="A82" s="74"/>
      <c r="B82" s="61"/>
      <c r="F82" s="62"/>
    </row>
    <row r="83" ht="15.75" customHeight="1">
      <c r="A83" s="74"/>
      <c r="B83" s="61"/>
      <c r="F83" s="62"/>
    </row>
    <row r="84" ht="15.75" customHeight="1">
      <c r="A84" s="74"/>
      <c r="B84" s="61"/>
      <c r="F84" s="62"/>
    </row>
    <row r="85" ht="15.75" customHeight="1">
      <c r="A85" s="74"/>
      <c r="B85" s="61"/>
      <c r="F85" s="62"/>
    </row>
    <row r="86" ht="15.75" customHeight="1">
      <c r="A86" s="74"/>
      <c r="B86" s="61"/>
      <c r="F86" s="62"/>
    </row>
    <row r="87" ht="15.75" customHeight="1">
      <c r="A87" s="74"/>
      <c r="B87" s="61"/>
      <c r="F87" s="62"/>
    </row>
    <row r="88" ht="15.75" customHeight="1">
      <c r="A88" s="74"/>
      <c r="B88" s="61"/>
      <c r="F88" s="62"/>
    </row>
    <row r="89" ht="15.75" customHeight="1">
      <c r="A89" s="74"/>
      <c r="B89" s="61"/>
      <c r="F89" s="62"/>
    </row>
    <row r="90" ht="15.75" customHeight="1">
      <c r="A90" s="74"/>
      <c r="B90" s="61"/>
      <c r="F90" s="62"/>
    </row>
    <row r="91" ht="15.75" customHeight="1">
      <c r="A91" s="74"/>
      <c r="B91" s="61"/>
      <c r="F91" s="62"/>
    </row>
    <row r="92" ht="15.75" customHeight="1">
      <c r="A92" s="74"/>
      <c r="B92" s="61"/>
      <c r="F92" s="62"/>
    </row>
    <row r="93" ht="15.75" customHeight="1">
      <c r="A93" s="74"/>
      <c r="B93" s="61"/>
      <c r="F93" s="62"/>
    </row>
    <row r="94" ht="15.75" customHeight="1">
      <c r="A94" s="74"/>
      <c r="B94" s="61"/>
      <c r="F94" s="62"/>
    </row>
    <row r="95" ht="15.75" customHeight="1">
      <c r="A95" s="74"/>
      <c r="B95" s="61"/>
      <c r="F95" s="62"/>
    </row>
    <row r="96" ht="15.75" customHeight="1">
      <c r="A96" s="74"/>
      <c r="B96" s="61"/>
      <c r="F96" s="62"/>
    </row>
    <row r="97" ht="15.75" customHeight="1">
      <c r="A97" s="74"/>
      <c r="B97" s="61"/>
      <c r="F97" s="62"/>
    </row>
    <row r="98" ht="15.75" customHeight="1">
      <c r="A98" s="74"/>
      <c r="B98" s="61"/>
      <c r="F98" s="62"/>
    </row>
    <row r="99" ht="15.75" customHeight="1">
      <c r="A99" s="74"/>
      <c r="B99" s="61"/>
      <c r="F99" s="62"/>
    </row>
    <row r="100" ht="15.75" customHeight="1">
      <c r="A100" s="74"/>
      <c r="B100" s="61"/>
      <c r="F100" s="62"/>
    </row>
    <row r="101" ht="15.75" customHeight="1">
      <c r="A101" s="74"/>
      <c r="B101" s="61"/>
      <c r="F101" s="62"/>
    </row>
    <row r="102" ht="15.75" customHeight="1">
      <c r="A102" s="74"/>
      <c r="B102" s="61"/>
      <c r="F102" s="62"/>
    </row>
    <row r="103" ht="15.75" customHeight="1">
      <c r="A103" s="74"/>
      <c r="B103" s="61"/>
      <c r="F103" s="62"/>
    </row>
    <row r="104" ht="15.75" customHeight="1">
      <c r="A104" s="74"/>
      <c r="B104" s="61"/>
      <c r="F104" s="62"/>
    </row>
    <row r="105" ht="15.75" customHeight="1">
      <c r="A105" s="74"/>
      <c r="B105" s="61"/>
      <c r="F105" s="62"/>
    </row>
    <row r="106" ht="15.75" customHeight="1">
      <c r="A106" s="74"/>
      <c r="B106" s="61"/>
      <c r="F106" s="62"/>
    </row>
    <row r="107" ht="15.75" customHeight="1">
      <c r="A107" s="74"/>
      <c r="B107" s="61"/>
      <c r="F107" s="62"/>
    </row>
    <row r="108" ht="15.75" customHeight="1">
      <c r="A108" s="74"/>
      <c r="B108" s="61"/>
      <c r="F108" s="62"/>
    </row>
    <row r="109" ht="15.75" customHeight="1">
      <c r="A109" s="74"/>
      <c r="B109" s="61"/>
      <c r="F109" s="62"/>
    </row>
    <row r="110" ht="15.75" customHeight="1">
      <c r="A110" s="74"/>
      <c r="B110" s="61"/>
      <c r="F110" s="62"/>
    </row>
    <row r="111" ht="15.75" customHeight="1">
      <c r="A111" s="74"/>
      <c r="B111" s="61"/>
      <c r="F111" s="62"/>
    </row>
    <row r="112" ht="15.75" customHeight="1">
      <c r="A112" s="74"/>
      <c r="B112" s="61"/>
      <c r="F112" s="62"/>
    </row>
    <row r="113" ht="15.75" customHeight="1">
      <c r="A113" s="74"/>
      <c r="B113" s="61"/>
      <c r="F113" s="62"/>
    </row>
    <row r="114" ht="15.75" customHeight="1">
      <c r="A114" s="74"/>
      <c r="B114" s="61"/>
      <c r="F114" s="62"/>
    </row>
    <row r="115" ht="15.75" customHeight="1">
      <c r="A115" s="74"/>
      <c r="B115" s="61"/>
      <c r="F115" s="62"/>
    </row>
    <row r="116" ht="15.75" customHeight="1">
      <c r="A116" s="74"/>
      <c r="B116" s="61"/>
      <c r="F116" s="62"/>
    </row>
    <row r="117" ht="15.75" customHeight="1">
      <c r="A117" s="74"/>
      <c r="B117" s="61"/>
      <c r="F117" s="62"/>
    </row>
    <row r="118" ht="15.75" customHeight="1">
      <c r="A118" s="74"/>
      <c r="B118" s="61"/>
      <c r="F118" s="62"/>
    </row>
    <row r="119" ht="15.75" customHeight="1">
      <c r="A119" s="74"/>
      <c r="B119" s="61"/>
      <c r="F119" s="62"/>
    </row>
    <row r="120" ht="15.75" customHeight="1">
      <c r="A120" s="74"/>
      <c r="B120" s="61"/>
      <c r="F120" s="62"/>
    </row>
    <row r="121" ht="15.75" customHeight="1">
      <c r="A121" s="74"/>
      <c r="B121" s="61"/>
      <c r="F121" s="62"/>
    </row>
    <row r="122" ht="15.75" customHeight="1">
      <c r="A122" s="74"/>
      <c r="B122" s="61"/>
      <c r="F122" s="62"/>
    </row>
    <row r="123" ht="15.75" customHeight="1">
      <c r="A123" s="74"/>
      <c r="B123" s="61"/>
      <c r="F123" s="62"/>
    </row>
    <row r="124" ht="15.75" customHeight="1">
      <c r="A124" s="74"/>
      <c r="B124" s="61"/>
      <c r="F124" s="62"/>
    </row>
    <row r="125" ht="15.75" customHeight="1">
      <c r="A125" s="74"/>
      <c r="B125" s="61"/>
      <c r="F125" s="62"/>
    </row>
    <row r="126" ht="15.75" customHeight="1">
      <c r="A126" s="74"/>
      <c r="B126" s="61"/>
      <c r="F126" s="62"/>
    </row>
    <row r="127" ht="15.75" customHeight="1">
      <c r="A127" s="74"/>
      <c r="B127" s="61"/>
      <c r="F127" s="62"/>
    </row>
    <row r="128" ht="15.75" customHeight="1">
      <c r="A128" s="74"/>
      <c r="B128" s="61"/>
      <c r="F128" s="62"/>
    </row>
    <row r="129" ht="15.75" customHeight="1">
      <c r="A129" s="74"/>
      <c r="B129" s="61"/>
      <c r="F129" s="62"/>
    </row>
    <row r="130" ht="15.75" customHeight="1">
      <c r="A130" s="74"/>
      <c r="B130" s="61"/>
      <c r="F130" s="62"/>
    </row>
    <row r="131" ht="15.75" customHeight="1">
      <c r="A131" s="74"/>
      <c r="B131" s="61"/>
      <c r="F131" s="62"/>
    </row>
    <row r="132" ht="15.75" customHeight="1">
      <c r="A132" s="74"/>
      <c r="B132" s="61"/>
      <c r="F132" s="62"/>
    </row>
    <row r="133" ht="15.75" customHeight="1">
      <c r="A133" s="74"/>
      <c r="B133" s="61"/>
      <c r="F133" s="62"/>
    </row>
    <row r="134" ht="15.75" customHeight="1">
      <c r="A134" s="74"/>
      <c r="B134" s="61"/>
      <c r="F134" s="62"/>
    </row>
    <row r="135" ht="15.75" customHeight="1">
      <c r="A135" s="74"/>
      <c r="B135" s="61"/>
      <c r="F135" s="62"/>
    </row>
    <row r="136" ht="15.75" customHeight="1">
      <c r="A136" s="74"/>
      <c r="B136" s="61"/>
      <c r="F136" s="62"/>
    </row>
    <row r="137" ht="15.75" customHeight="1">
      <c r="A137" s="74"/>
      <c r="B137" s="61"/>
      <c r="F137" s="62"/>
    </row>
    <row r="138" ht="15.75" customHeight="1">
      <c r="A138" s="74"/>
      <c r="B138" s="61"/>
      <c r="F138" s="62"/>
    </row>
    <row r="139" ht="15.75" customHeight="1">
      <c r="A139" s="74"/>
      <c r="B139" s="61"/>
      <c r="F139" s="62"/>
    </row>
    <row r="140" ht="15.75" customHeight="1">
      <c r="A140" s="74"/>
      <c r="B140" s="61"/>
      <c r="F140" s="62"/>
    </row>
    <row r="141" ht="15.75" customHeight="1">
      <c r="A141" s="74"/>
      <c r="B141" s="61"/>
      <c r="F141" s="62"/>
    </row>
    <row r="142" ht="15.75" customHeight="1">
      <c r="A142" s="74"/>
      <c r="B142" s="61"/>
      <c r="F142" s="62"/>
    </row>
    <row r="143" ht="15.75" customHeight="1">
      <c r="A143" s="74"/>
      <c r="B143" s="61"/>
      <c r="F143" s="62"/>
    </row>
    <row r="144" ht="15.75" customHeight="1">
      <c r="A144" s="74"/>
      <c r="B144" s="61"/>
      <c r="F144" s="62"/>
    </row>
    <row r="145" ht="15.75" customHeight="1">
      <c r="A145" s="74"/>
      <c r="B145" s="61"/>
      <c r="F145" s="62"/>
    </row>
    <row r="146" ht="15.75" customHeight="1">
      <c r="A146" s="74"/>
      <c r="B146" s="61"/>
      <c r="F146" s="62"/>
    </row>
    <row r="147" ht="15.75" customHeight="1">
      <c r="A147" s="74"/>
      <c r="B147" s="61"/>
      <c r="F147" s="62"/>
    </row>
    <row r="148" ht="15.75" customHeight="1">
      <c r="A148" s="74"/>
      <c r="B148" s="61"/>
      <c r="F148" s="62"/>
    </row>
    <row r="149" ht="15.75" customHeight="1">
      <c r="A149" s="74"/>
      <c r="B149" s="61"/>
      <c r="F149" s="62"/>
    </row>
    <row r="150" ht="15.75" customHeight="1">
      <c r="A150" s="74"/>
      <c r="B150" s="61"/>
      <c r="F150" s="62"/>
    </row>
    <row r="151" ht="15.75" customHeight="1">
      <c r="A151" s="74"/>
      <c r="B151" s="61"/>
      <c r="F151" s="62"/>
    </row>
    <row r="152" ht="15.75" customHeight="1">
      <c r="A152" s="74"/>
      <c r="B152" s="61"/>
      <c r="F152" s="62"/>
    </row>
    <row r="153" ht="15.75" customHeight="1">
      <c r="A153" s="74"/>
      <c r="B153" s="61"/>
      <c r="F153" s="62"/>
    </row>
    <row r="154" ht="15.75" customHeight="1">
      <c r="A154" s="74"/>
      <c r="B154" s="61"/>
      <c r="F154" s="62"/>
    </row>
    <row r="155" ht="15.75" customHeight="1">
      <c r="A155" s="74"/>
      <c r="B155" s="61"/>
      <c r="F155" s="62"/>
    </row>
    <row r="156" ht="15.75" customHeight="1">
      <c r="A156" s="74"/>
      <c r="B156" s="61"/>
      <c r="F156" s="62"/>
    </row>
    <row r="157" ht="15.75" customHeight="1">
      <c r="A157" s="74"/>
      <c r="B157" s="61"/>
      <c r="F157" s="62"/>
    </row>
    <row r="158" ht="15.75" customHeight="1">
      <c r="A158" s="74"/>
      <c r="B158" s="61"/>
      <c r="F158" s="62"/>
    </row>
    <row r="159" ht="15.75" customHeight="1">
      <c r="A159" s="74"/>
      <c r="B159" s="61"/>
      <c r="F159" s="62"/>
    </row>
    <row r="160" ht="15.75" customHeight="1">
      <c r="A160" s="74"/>
      <c r="B160" s="61"/>
      <c r="F160" s="62"/>
    </row>
    <row r="161" ht="15.75" customHeight="1">
      <c r="A161" s="74"/>
      <c r="B161" s="61"/>
      <c r="F161" s="62"/>
    </row>
    <row r="162" ht="15.75" customHeight="1">
      <c r="A162" s="74"/>
      <c r="B162" s="61"/>
      <c r="F162" s="62"/>
    </row>
    <row r="163" ht="15.75" customHeight="1">
      <c r="A163" s="74"/>
      <c r="B163" s="61"/>
      <c r="F163" s="62"/>
    </row>
    <row r="164" ht="15.75" customHeight="1">
      <c r="A164" s="74"/>
      <c r="B164" s="61"/>
      <c r="F164" s="62"/>
    </row>
    <row r="165" ht="15.75" customHeight="1">
      <c r="A165" s="74"/>
      <c r="B165" s="61"/>
      <c r="F165" s="62"/>
    </row>
    <row r="166" ht="15.75" customHeight="1">
      <c r="A166" s="74"/>
      <c r="B166" s="61"/>
      <c r="F166" s="62"/>
    </row>
    <row r="167" ht="15.75" customHeight="1">
      <c r="A167" s="74"/>
      <c r="B167" s="61"/>
      <c r="F167" s="62"/>
    </row>
    <row r="168" ht="15.75" customHeight="1">
      <c r="A168" s="74"/>
      <c r="B168" s="61"/>
      <c r="F168" s="62"/>
    </row>
    <row r="169" ht="15.75" customHeight="1">
      <c r="A169" s="74"/>
      <c r="B169" s="61"/>
      <c r="F169" s="62"/>
    </row>
    <row r="170" ht="15.75" customHeight="1">
      <c r="A170" s="74"/>
      <c r="B170" s="61"/>
      <c r="F170" s="62"/>
    </row>
    <row r="171" ht="15.75" customHeight="1">
      <c r="A171" s="74"/>
      <c r="B171" s="61"/>
      <c r="F171" s="62"/>
    </row>
    <row r="172" ht="15.75" customHeight="1">
      <c r="A172" s="74"/>
      <c r="B172" s="61"/>
      <c r="F172" s="62"/>
    </row>
    <row r="173" ht="15.75" customHeight="1">
      <c r="A173" s="74"/>
      <c r="B173" s="61"/>
      <c r="F173" s="62"/>
    </row>
    <row r="174" ht="15.75" customHeight="1">
      <c r="A174" s="74"/>
      <c r="B174" s="61"/>
      <c r="F174" s="62"/>
    </row>
    <row r="175" ht="15.75" customHeight="1">
      <c r="A175" s="74"/>
      <c r="B175" s="61"/>
      <c r="F175" s="62"/>
    </row>
    <row r="176" ht="15.75" customHeight="1">
      <c r="A176" s="74"/>
      <c r="B176" s="61"/>
      <c r="F176" s="62"/>
    </row>
    <row r="177" ht="15.75" customHeight="1">
      <c r="A177" s="74"/>
      <c r="B177" s="61"/>
      <c r="F177" s="62"/>
    </row>
    <row r="178" ht="15.75" customHeight="1">
      <c r="A178" s="74"/>
      <c r="B178" s="61"/>
      <c r="F178" s="62"/>
    </row>
    <row r="179" ht="15.75" customHeight="1">
      <c r="A179" s="74"/>
      <c r="B179" s="61"/>
      <c r="F179" s="62"/>
    </row>
    <row r="180" ht="15.75" customHeight="1">
      <c r="A180" s="74"/>
      <c r="B180" s="61"/>
      <c r="F180" s="62"/>
    </row>
    <row r="181" ht="15.75" customHeight="1">
      <c r="A181" s="74"/>
      <c r="B181" s="61"/>
      <c r="F181" s="62"/>
    </row>
    <row r="182" ht="15.75" customHeight="1">
      <c r="A182" s="74"/>
      <c r="B182" s="61"/>
      <c r="F182" s="62"/>
    </row>
    <row r="183" ht="15.75" customHeight="1">
      <c r="A183" s="74"/>
      <c r="B183" s="61"/>
      <c r="F183" s="62"/>
    </row>
    <row r="184" ht="15.75" customHeight="1">
      <c r="A184" s="74"/>
      <c r="B184" s="61"/>
      <c r="F184" s="62"/>
    </row>
    <row r="185" ht="15.75" customHeight="1">
      <c r="A185" s="74"/>
      <c r="B185" s="61"/>
      <c r="F185" s="62"/>
    </row>
    <row r="186" ht="15.75" customHeight="1">
      <c r="A186" s="74"/>
      <c r="B186" s="61"/>
      <c r="F186" s="62"/>
    </row>
    <row r="187" ht="15.75" customHeight="1">
      <c r="A187" s="74"/>
      <c r="B187" s="61"/>
      <c r="F187" s="62"/>
    </row>
    <row r="188" ht="15.75" customHeight="1">
      <c r="A188" s="74"/>
      <c r="B188" s="61"/>
      <c r="F188" s="62"/>
    </row>
    <row r="189" ht="15.75" customHeight="1">
      <c r="A189" s="74"/>
      <c r="B189" s="61"/>
      <c r="F189" s="62"/>
    </row>
    <row r="190" ht="15.75" customHeight="1">
      <c r="A190" s="74"/>
      <c r="B190" s="61"/>
      <c r="F190" s="62"/>
    </row>
    <row r="191" ht="15.75" customHeight="1">
      <c r="A191" s="74"/>
      <c r="B191" s="61"/>
      <c r="F191" s="62"/>
    </row>
    <row r="192" ht="15.75" customHeight="1">
      <c r="A192" s="74"/>
      <c r="B192" s="61"/>
      <c r="F192" s="62"/>
    </row>
    <row r="193" ht="15.75" customHeight="1">
      <c r="A193" s="74"/>
      <c r="B193" s="61"/>
      <c r="F193" s="62"/>
    </row>
    <row r="194" ht="15.75" customHeight="1">
      <c r="A194" s="74"/>
      <c r="B194" s="61"/>
      <c r="F194" s="62"/>
    </row>
    <row r="195" ht="15.75" customHeight="1">
      <c r="A195" s="74"/>
      <c r="B195" s="61"/>
      <c r="F195" s="62"/>
    </row>
    <row r="196" ht="15.75" customHeight="1">
      <c r="A196" s="74"/>
      <c r="B196" s="61"/>
      <c r="F196" s="62"/>
    </row>
    <row r="197" ht="15.75" customHeight="1">
      <c r="A197" s="74"/>
      <c r="B197" s="61"/>
      <c r="F197" s="62"/>
    </row>
    <row r="198" ht="15.75" customHeight="1">
      <c r="A198" s="74"/>
      <c r="B198" s="61"/>
      <c r="F198" s="62"/>
    </row>
    <row r="199" ht="15.75" customHeight="1">
      <c r="A199" s="74"/>
      <c r="B199" s="61"/>
      <c r="F199" s="62"/>
    </row>
    <row r="200" ht="15.75" customHeight="1">
      <c r="A200" s="74"/>
      <c r="B200" s="61"/>
      <c r="F200" s="62"/>
    </row>
    <row r="201" ht="15.75" customHeight="1">
      <c r="A201" s="74"/>
      <c r="B201" s="61"/>
      <c r="F201" s="62"/>
    </row>
    <row r="202" ht="15.75" customHeight="1">
      <c r="A202" s="74"/>
      <c r="B202" s="61"/>
      <c r="F202" s="62"/>
    </row>
    <row r="203" ht="15.75" customHeight="1">
      <c r="A203" s="74"/>
      <c r="B203" s="61"/>
      <c r="F203" s="62"/>
    </row>
    <row r="204" ht="15.75" customHeight="1">
      <c r="A204" s="74"/>
      <c r="B204" s="61"/>
      <c r="F204" s="62"/>
    </row>
    <row r="205" ht="15.75" customHeight="1">
      <c r="A205" s="74"/>
      <c r="B205" s="61"/>
      <c r="F205" s="62"/>
    </row>
    <row r="206" ht="15.75" customHeight="1">
      <c r="A206" s="74"/>
      <c r="B206" s="61"/>
      <c r="F206" s="62"/>
    </row>
    <row r="207" ht="15.75" customHeight="1">
      <c r="A207" s="74"/>
      <c r="B207" s="61"/>
      <c r="F207" s="62"/>
    </row>
    <row r="208" ht="15.75" customHeight="1">
      <c r="A208" s="74"/>
      <c r="B208" s="61"/>
      <c r="F208" s="62"/>
    </row>
    <row r="209" ht="15.75" customHeight="1">
      <c r="A209" s="74"/>
      <c r="B209" s="61"/>
      <c r="F209" s="62"/>
    </row>
    <row r="210" ht="15.75" customHeight="1">
      <c r="A210" s="74"/>
      <c r="B210" s="61"/>
      <c r="F210" s="62"/>
    </row>
    <row r="211" ht="15.75" customHeight="1">
      <c r="A211" s="74"/>
      <c r="B211" s="61"/>
      <c r="F211" s="62"/>
    </row>
    <row r="212" ht="15.75" customHeight="1">
      <c r="A212" s="74"/>
      <c r="B212" s="61"/>
      <c r="F212" s="62"/>
    </row>
    <row r="213" ht="15.75" customHeight="1">
      <c r="A213" s="74"/>
      <c r="B213" s="61"/>
      <c r="F213" s="62"/>
    </row>
    <row r="214" ht="15.75" customHeight="1">
      <c r="A214" s="74"/>
      <c r="B214" s="61"/>
      <c r="F214" s="62"/>
    </row>
    <row r="215" ht="15.75" customHeight="1">
      <c r="A215" s="74"/>
      <c r="B215" s="61"/>
      <c r="F215" s="62"/>
    </row>
    <row r="216" ht="15.75" customHeight="1">
      <c r="A216" s="74"/>
      <c r="B216" s="61"/>
      <c r="F216" s="62"/>
    </row>
    <row r="217" ht="15.75" customHeight="1">
      <c r="A217" s="74"/>
      <c r="B217" s="61"/>
      <c r="F217" s="62"/>
    </row>
    <row r="218" ht="15.75" customHeight="1">
      <c r="A218" s="74"/>
      <c r="B218" s="61"/>
      <c r="F218" s="62"/>
    </row>
    <row r="219" ht="15.75" customHeight="1">
      <c r="A219" s="74"/>
      <c r="B219" s="61"/>
      <c r="F219" s="62"/>
    </row>
    <row r="220" ht="15.75" customHeight="1">
      <c r="A220" s="74"/>
      <c r="B220" s="61"/>
      <c r="F220" s="62"/>
    </row>
    <row r="221" ht="15.75" customHeight="1">
      <c r="A221" s="74"/>
      <c r="B221" s="61"/>
      <c r="F221" s="62"/>
    </row>
    <row r="222" ht="15.75" customHeight="1">
      <c r="A222" s="74"/>
      <c r="B222" s="61"/>
      <c r="F222" s="6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A2:A3"/>
    <mergeCell ref="A4:B4"/>
    <mergeCell ref="A5:A7"/>
    <mergeCell ref="A8:B8"/>
    <mergeCell ref="A10:B10"/>
    <mergeCell ref="A11:A12"/>
    <mergeCell ref="A13:B13"/>
    <mergeCell ref="A15:B15"/>
    <mergeCell ref="A16:A17"/>
    <mergeCell ref="A18:B18"/>
    <mergeCell ref="A19:A21"/>
    <mergeCell ref="A22:B2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90023-0043-4B85-8CDE-003100EC00F9}" type="list" allowBlank="1" errorStyle="stop" imeMode="noControl" operator="between" showDropDown="0" showErrorMessage="0" showInputMessage="0">
          <x14:formula1>
            <xm:f>"0,1,2"</xm:f>
          </x14:formula1>
          <xm:sqref>C2:F3</xm:sqref>
        </x14:dataValidation>
        <x14:dataValidation xr:uid="{009E00F3-00B2-402A-AC66-00C80086003F}" type="list" allowBlank="1" errorStyle="stop" imeMode="noControl" operator="between" showDropDown="0" showErrorMessage="1" showInputMessage="0">
          <x14:formula1>
            <xm:f>"0,1,2"</xm:f>
          </x14:formula1>
          <xm:sqref>C19:F21 C16:F17 C14:F14 C11:F12 C9:F9 C5:F7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Перунов Станислав Викторович (PerunovSV)</cp:lastModifiedBy>
  <cp:revision>3</cp:revision>
  <dcterms:modified xsi:type="dcterms:W3CDTF">2026-07-24T06:32:12Z</dcterms:modified>
</cp:coreProperties>
</file>